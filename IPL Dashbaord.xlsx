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hidePivotFieldList="1" defaultThemeVersion="202300"/>
  <mc:AlternateContent xmlns:mc="http://schemas.openxmlformats.org/markup-compatibility/2006">
    <mc:Choice Requires="x15">
      <x15ac:absPath xmlns:x15ac="http://schemas.microsoft.com/office/spreadsheetml/2010/11/ac" url="https://d.docs.live.net/898af4500e89e0da/Desktop/IPL Dashboard/"/>
    </mc:Choice>
  </mc:AlternateContent>
  <xr:revisionPtr revIDLastSave="987" documentId="8_{0CAECEA5-F2CA-4B4B-BC07-0C30760242D9}" xr6:coauthVersionLast="47" xr6:coauthVersionMax="47" xr10:uidLastSave="{80D11522-AD3F-4CD3-B3A3-3958AB2614E6}"/>
  <bookViews>
    <workbookView xWindow="-108" yWindow="-108" windowWidth="23256" windowHeight="14616" activeTab="2" xr2:uid="{A471DF7B-1D14-47EB-80F5-6626C52E453A}"/>
  </bookViews>
  <sheets>
    <sheet name="Player_summary" sheetId="11" r:id="rId1"/>
    <sheet name="Team_Summary" sheetId="10" r:id="rId2"/>
    <sheet name="Team Performance Dashboard" sheetId="18" r:id="rId3"/>
    <sheet name="fact_player" sheetId="6" r:id="rId4"/>
    <sheet name="fact_match" sheetId="5" r:id="rId5"/>
    <sheet name="dim_venue" sheetId="4" r:id="rId6"/>
    <sheet name="dim_team" sheetId="3" r:id="rId7"/>
    <sheet name="dim_player" sheetId="2" r:id="rId8"/>
  </sheets>
  <definedNames>
    <definedName name="_xlcn.WorksheetConnection_Book1dim_player1" hidden="1">dim_player[]</definedName>
    <definedName name="_xlcn.WorksheetConnection_Book1dim_team1" hidden="1">dim_team[]</definedName>
    <definedName name="_xlcn.WorksheetConnection_Book1dim_venue1" hidden="1">dim_venue[]</definedName>
    <definedName name="_xlcn.WorksheetConnection_Book1fact_match1" hidden="1">fact_match[]</definedName>
    <definedName name="_xlcn.WorksheetConnection_Book1fact_player1" hidden="1">fact_player[]</definedName>
    <definedName name="ExternalData_1" localSheetId="7" hidden="1">dim_player!$A$1:$H$34</definedName>
    <definedName name="ExternalData_2" localSheetId="6" hidden="1">dim_team!$A$1:$G$9</definedName>
    <definedName name="ExternalData_3" localSheetId="5" hidden="1">dim_venue!$A$1:$D$11</definedName>
    <definedName name="ExternalData_4" localSheetId="4" hidden="1">fact_match!$A$1:$N$61</definedName>
    <definedName name="ExternalData_5" localSheetId="3" hidden="1">fact_player!$A$1:$K$202</definedName>
    <definedName name="Slicer_Team_Name">#N/A</definedName>
    <definedName name="Slicer_Venue_Name">#N/A</definedName>
  </definedNames>
  <calcPr calcId="191029"/>
  <pivotCaches>
    <pivotCache cacheId="1762" r:id="rId9"/>
    <pivotCache cacheId="1765" r:id="rId10"/>
    <pivotCache cacheId="1768" r:id="rId11"/>
    <pivotCache cacheId="1771" r:id="rId12"/>
    <pivotCache cacheId="1774" r:id="rId13"/>
    <pivotCache cacheId="1777" r:id="rId14"/>
  </pivotCaches>
  <extLst>
    <ext xmlns:x14="http://schemas.microsoft.com/office/spreadsheetml/2009/9/main" uri="{876F7934-8845-4945-9796-88D515C7AA90}">
      <x14:pivotCaches>
        <pivotCache cacheId="1290" r:id="rId15"/>
      </x14:pivotCaches>
    </ext>
    <ext xmlns:x14="http://schemas.microsoft.com/office/spreadsheetml/2009/9/main" uri="{BBE1A952-AA13-448e-AADC-164F8A28A991}">
      <x14:slicerCaches>
        <x14:slicerCache r:id="rId16"/>
        <x14:slicerCache r:id="rId1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player" name="fact_player" connection="WorksheetConnection_Book1!fact_player"/>
          <x15:modelTable id="fact_match" name="fact_match" connection="WorksheetConnection_Book1!fact_match"/>
          <x15:modelTable id="dim_venue" name="dim_venue" connection="WorksheetConnection_Book1!dim_venue"/>
          <x15:modelTable id="dim_team" name="dim_team" connection="WorksheetConnection_Book1!dim_team"/>
          <x15:modelTable id="dim_player" name="dim_player" connection="WorksheetConnection_Book1!dim_player"/>
        </x15:modelTables>
        <x15:modelRelationships>
          <x15:modelRelationship fromTable="fact_player" fromColumn="Match_ID" toTable="fact_match" toColumn="Match_ID"/>
          <x15:modelRelationship fromTable="fact_player" fromColumn="Player_ID" toTable="dim_player" toColumn="Player_ID"/>
          <x15:modelRelationship fromTable="fact_match" fromColumn="Team1_ID" toTable="dim_team" toColumn="Team_ID"/>
          <x15:modelRelationship fromTable="fact_match" fromColumn="Venue_ID" toTable="dim_venue" toColumn="Venue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18" l="1"/>
  <c r="U5" i="18"/>
  <c r="Q5" i="18"/>
  <c r="M5" i="1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105A895-3572-4CE5-BF2A-3E196DDB531F}" keepAlive="1" name="Query - dim_player" description="Connection to the 'dim_player' query in the workbook." type="5" refreshedVersion="8" background="1" saveData="1">
    <dbPr connection="Provider=Microsoft.Mashup.OleDb.1;Data Source=$Workbook$;Location=dim_player;Extended Properties=&quot;&quot;" command="SELECT * FROM [dim_player]"/>
  </connection>
  <connection id="2" xr16:uid="{4D1AC879-1FC3-445A-955B-003999429448}" keepAlive="1" name="Query - dim_team" description="Connection to the 'dim_team' query in the workbook." type="5" refreshedVersion="8" background="1" saveData="1">
    <dbPr connection="Provider=Microsoft.Mashup.OleDb.1;Data Source=$Workbook$;Location=dim_team;Extended Properties=&quot;&quot;" command="SELECT * FROM [dim_team]"/>
  </connection>
  <connection id="3" xr16:uid="{93D7FE47-3848-4110-B12C-D12C9E71CC29}" keepAlive="1" name="Query - dim_venue" description="Connection to the 'dim_venue' query in the workbook." type="5" refreshedVersion="8" background="1" saveData="1">
    <dbPr connection="Provider=Microsoft.Mashup.OleDb.1;Data Source=$Workbook$;Location=dim_venue;Extended Properties=&quot;&quot;" command="SELECT * FROM [dim_venue]"/>
  </connection>
  <connection id="4" xr16:uid="{48317BA4-D07C-45BB-A07D-E897538EAB72}" keepAlive="1" name="Query - fact_match" description="Connection to the 'fact_match' query in the workbook." type="5" refreshedVersion="8" background="1" saveData="1">
    <dbPr connection="Provider=Microsoft.Mashup.OleDb.1;Data Source=$Workbook$;Location=fact_match;Extended Properties=&quot;&quot;" command="SELECT * FROM [fact_match]"/>
  </connection>
  <connection id="5" xr16:uid="{0D101E89-74A3-4BF6-A9BD-45B33D45B42A}" keepAlive="1" name="Query - fact_player" description="Connection to the 'fact_player' query in the workbook." type="5" refreshedVersion="8" background="1" saveData="1">
    <dbPr connection="Provider=Microsoft.Mashup.OleDb.1;Data Source=$Workbook$;Location=fact_player;Extended Properties=&quot;&quot;" command="SELECT * FROM [fact_player]"/>
  </connection>
  <connection id="6" xr16:uid="{5289FD63-D5B0-4391-8490-ADF63EB4F0E1}"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7" xr16:uid="{152FD781-6C25-481E-A089-225CF3CC2E0D}" name="WorksheetConnection_Book1!dim_player" type="102" refreshedVersion="8" minRefreshableVersion="5">
    <extLst>
      <ext xmlns:x15="http://schemas.microsoft.com/office/spreadsheetml/2010/11/main" uri="{DE250136-89BD-433C-8126-D09CA5730AF9}">
        <x15:connection id="dim_player">
          <x15:rangePr sourceName="_xlcn.WorksheetConnection_Book1dim_player1"/>
        </x15:connection>
      </ext>
    </extLst>
  </connection>
  <connection id="8" xr16:uid="{B6D67571-1E1A-4031-8C08-3CEE696EC316}" name="WorksheetConnection_Book1!dim_team" type="102" refreshedVersion="8" minRefreshableVersion="5">
    <extLst>
      <ext xmlns:x15="http://schemas.microsoft.com/office/spreadsheetml/2010/11/main" uri="{DE250136-89BD-433C-8126-D09CA5730AF9}">
        <x15:connection id="dim_team">
          <x15:rangePr sourceName="_xlcn.WorksheetConnection_Book1dim_team1"/>
        </x15:connection>
      </ext>
    </extLst>
  </connection>
  <connection id="9" xr16:uid="{9EFFA952-1841-4773-B7FF-EA5A95BD31A6}" name="WorksheetConnection_Book1!dim_venue" type="102" refreshedVersion="8" minRefreshableVersion="5">
    <extLst>
      <ext xmlns:x15="http://schemas.microsoft.com/office/spreadsheetml/2010/11/main" uri="{DE250136-89BD-433C-8126-D09CA5730AF9}">
        <x15:connection id="dim_venue">
          <x15:rangePr sourceName="_xlcn.WorksheetConnection_Book1dim_venue1"/>
        </x15:connection>
      </ext>
    </extLst>
  </connection>
  <connection id="10" xr16:uid="{C95C6ED2-A8F8-4B40-B4AD-DB73691C1035}" name="WorksheetConnection_Book1!fact_match" type="102" refreshedVersion="8" minRefreshableVersion="5">
    <extLst>
      <ext xmlns:x15="http://schemas.microsoft.com/office/spreadsheetml/2010/11/main" uri="{DE250136-89BD-433C-8126-D09CA5730AF9}">
        <x15:connection id="fact_match">
          <x15:rangePr sourceName="_xlcn.WorksheetConnection_Book1fact_match1"/>
        </x15:connection>
      </ext>
    </extLst>
  </connection>
  <connection id="11" xr16:uid="{42BEB1F1-981C-4C1D-A549-19F77B72FC3E}" name="WorksheetConnection_Book1!fact_player" type="102" refreshedVersion="8" minRefreshableVersion="5">
    <extLst>
      <ext xmlns:x15="http://schemas.microsoft.com/office/spreadsheetml/2010/11/main" uri="{DE250136-89BD-433C-8126-D09CA5730AF9}">
        <x15:connection id="fact_player">
          <x15:rangePr sourceName="_xlcn.WorksheetConnection_Book1fact_player1"/>
        </x15:connection>
      </ext>
    </extLst>
  </connection>
</connections>
</file>

<file path=xl/sharedStrings.xml><?xml version="1.0" encoding="utf-8"?>
<sst xmlns="http://schemas.openxmlformats.org/spreadsheetml/2006/main" count="1444" uniqueCount="366">
  <si>
    <t>Player_ID</t>
  </si>
  <si>
    <t>Player_Name</t>
  </si>
  <si>
    <t>Team_ID</t>
  </si>
  <si>
    <t>Role</t>
  </si>
  <si>
    <t>Nationality</t>
  </si>
  <si>
    <t>Age</t>
  </si>
  <si>
    <t>Batting_Style</t>
  </si>
  <si>
    <t>Bowling_Style</t>
  </si>
  <si>
    <t>P001</t>
  </si>
  <si>
    <t>Suryakumar Yadav</t>
  </si>
  <si>
    <t>T01</t>
  </si>
  <si>
    <t>Batsman</t>
  </si>
  <si>
    <t>Indian</t>
  </si>
  <si>
    <t>Right-hand Bat</t>
  </si>
  <si>
    <t>Off-break</t>
  </si>
  <si>
    <t>P002</t>
  </si>
  <si>
    <t>Jasprit Bumrah</t>
  </si>
  <si>
    <t>Bowler</t>
  </si>
  <si>
    <t>Right-arm Fast</t>
  </si>
  <si>
    <t>P003</t>
  </si>
  <si>
    <t>Ishan Kishan</t>
  </si>
  <si>
    <t>Wicketkeeper</t>
  </si>
  <si>
    <t>Left-hand Bat</t>
  </si>
  <si>
    <t>None</t>
  </si>
  <si>
    <t>P004</t>
  </si>
  <si>
    <t>Tilak Varma</t>
  </si>
  <si>
    <t>All-Rounder</t>
  </si>
  <si>
    <t>P005</t>
  </si>
  <si>
    <t>Hardik Pandya</t>
  </si>
  <si>
    <t>Right-arm Medium</t>
  </si>
  <si>
    <t>P006</t>
  </si>
  <si>
    <t>Shivam Dube</t>
  </si>
  <si>
    <t>T02</t>
  </si>
  <si>
    <t>P007</t>
  </si>
  <si>
    <t>Deepak Chahar</t>
  </si>
  <si>
    <t>Right-arm Medium-Fast</t>
  </si>
  <si>
    <t>P008</t>
  </si>
  <si>
    <t>Daryl Mitchell</t>
  </si>
  <si>
    <t>New Zealander</t>
  </si>
  <si>
    <t>P009</t>
  </si>
  <si>
    <t>Matheesha Pathirana</t>
  </si>
  <si>
    <t>Sri Lankan</t>
  </si>
  <si>
    <t>P010</t>
  </si>
  <si>
    <t>Virat Kohli</t>
  </si>
  <si>
    <t>T03</t>
  </si>
  <si>
    <t>P011</t>
  </si>
  <si>
    <t>Mohammed Siraj</t>
  </si>
  <si>
    <t>P012</t>
  </si>
  <si>
    <t>Glenn Maxwell</t>
  </si>
  <si>
    <t>Australian</t>
  </si>
  <si>
    <t>P013</t>
  </si>
  <si>
    <t>Dinesh Karthik</t>
  </si>
  <si>
    <t>P014</t>
  </si>
  <si>
    <t>Rinku Singh</t>
  </si>
  <si>
    <t>T04</t>
  </si>
  <si>
    <t>P015</t>
  </si>
  <si>
    <t>Andre Russell</t>
  </si>
  <si>
    <t>West Indian</t>
  </si>
  <si>
    <t>P016</t>
  </si>
  <si>
    <t>Sunil Narine</t>
  </si>
  <si>
    <t>P017</t>
  </si>
  <si>
    <t>Varun Chakravarthy</t>
  </si>
  <si>
    <t>Leg-break</t>
  </si>
  <si>
    <t>P018</t>
  </si>
  <si>
    <t>David Warner</t>
  </si>
  <si>
    <t>T05</t>
  </si>
  <si>
    <t>P019</t>
  </si>
  <si>
    <t>Kuldeep Yadav</t>
  </si>
  <si>
    <t>Left-arm Chinaman</t>
  </si>
  <si>
    <t>P020</t>
  </si>
  <si>
    <t>Mitchell Marsh</t>
  </si>
  <si>
    <t>P021</t>
  </si>
  <si>
    <t>Axar Patel</t>
  </si>
  <si>
    <t>Left-arm Off-break</t>
  </si>
  <si>
    <t>P022</t>
  </si>
  <si>
    <t>Jos Buttler</t>
  </si>
  <si>
    <t>T06</t>
  </si>
  <si>
    <t>English</t>
  </si>
  <si>
    <t>P023</t>
  </si>
  <si>
    <t>Yuzvendra Chahal</t>
  </si>
  <si>
    <t>P024</t>
  </si>
  <si>
    <t>Trent Boult</t>
  </si>
  <si>
    <t>Left-arm Fast-Medium</t>
  </si>
  <si>
    <t>P025</t>
  </si>
  <si>
    <t>Yashasvi Jaiswal</t>
  </si>
  <si>
    <t>P026</t>
  </si>
  <si>
    <t>Liam Livingstone</t>
  </si>
  <si>
    <t>T07</t>
  </si>
  <si>
    <t>P027</t>
  </si>
  <si>
    <t>Arshdeep Singh</t>
  </si>
  <si>
    <t>Left-arm Medium-Fast</t>
  </si>
  <si>
    <t>P028</t>
  </si>
  <si>
    <t>Jitesh Sharma</t>
  </si>
  <si>
    <t>P029</t>
  </si>
  <si>
    <t>Kagiso Rabada</t>
  </si>
  <si>
    <t>South African</t>
  </si>
  <si>
    <t>P030</t>
  </si>
  <si>
    <t>Abhishek Sharma</t>
  </si>
  <si>
    <t>T08</t>
  </si>
  <si>
    <t>P031</t>
  </si>
  <si>
    <t>Bhuvneshwar Kumar</t>
  </si>
  <si>
    <t>P032</t>
  </si>
  <si>
    <t>Heinrich Klaasen</t>
  </si>
  <si>
    <t>P033</t>
  </si>
  <si>
    <t>Travis Head</t>
  </si>
  <si>
    <t>Venue_ID</t>
  </si>
  <si>
    <t>Venue_Name</t>
  </si>
  <si>
    <t>City</t>
  </si>
  <si>
    <t>Capacity</t>
  </si>
  <si>
    <t>V01</t>
  </si>
  <si>
    <t>Wankhede Stadium</t>
  </si>
  <si>
    <t>Mumbai</t>
  </si>
  <si>
    <t>V02</t>
  </si>
  <si>
    <t>M. A. Chidambaram Stadium</t>
  </si>
  <si>
    <t>Chennai</t>
  </si>
  <si>
    <t>V03</t>
  </si>
  <si>
    <t>M. Chinnaswamy Stadium</t>
  </si>
  <si>
    <t>Bengaluru</t>
  </si>
  <si>
    <t>V04</t>
  </si>
  <si>
    <t>Eden Gardens</t>
  </si>
  <si>
    <t>Kolkata</t>
  </si>
  <si>
    <t>V05</t>
  </si>
  <si>
    <t>Arun Jaitley Stadium</t>
  </si>
  <si>
    <t>Delhi</t>
  </si>
  <si>
    <t>V06</t>
  </si>
  <si>
    <t>Sawai Mansingh Stadium</t>
  </si>
  <si>
    <t>Jaipur</t>
  </si>
  <si>
    <t>V07</t>
  </si>
  <si>
    <t>Maharaja Yadavindra Singh Int. Cricket Stadium</t>
  </si>
  <si>
    <t>Mohali</t>
  </si>
  <si>
    <t>V08</t>
  </si>
  <si>
    <t>Rajiv Gandhi Int. Stadium</t>
  </si>
  <si>
    <t>Hyderabad</t>
  </si>
  <si>
    <t>V09</t>
  </si>
  <si>
    <t>Narendra Modi Stadium</t>
  </si>
  <si>
    <t>Ahmedabad</t>
  </si>
  <si>
    <t>V10</t>
  </si>
  <si>
    <t>Bharat Ratna Shri Atal Bihari Vajpayee Ekana Cricket Stadium</t>
  </si>
  <si>
    <t>Lucknow</t>
  </si>
  <si>
    <t>Team_Name</t>
  </si>
  <si>
    <t>Captain</t>
  </si>
  <si>
    <t>Coach</t>
  </si>
  <si>
    <t>Home_Ground</t>
  </si>
  <si>
    <t>Owner</t>
  </si>
  <si>
    <t>Mumbai Indians (MI)</t>
  </si>
  <si>
    <t>Rohit Sharma</t>
  </si>
  <si>
    <t>Mark Boucher</t>
  </si>
  <si>
    <t>Reliance Industries</t>
  </si>
  <si>
    <t>Chennai Super Kings (CSK)</t>
  </si>
  <si>
    <t>Ruturaj Gaikwad</t>
  </si>
  <si>
    <t>Stephen Fleming</t>
  </si>
  <si>
    <t>India Cements</t>
  </si>
  <si>
    <t>Royal Challengers Bengaluru (RCB)</t>
  </si>
  <si>
    <t>Faf du Plessis</t>
  </si>
  <si>
    <t>Andy Flower</t>
  </si>
  <si>
    <t>United Spirits</t>
  </si>
  <si>
    <t>Kolkata Knight Riders (KKR)</t>
  </si>
  <si>
    <t>Shreyas Iyer</t>
  </si>
  <si>
    <t>Chandrakant Pandit</t>
  </si>
  <si>
    <t>Shah Rukh Khan</t>
  </si>
  <si>
    <t>Delhi Capitals (DC)</t>
  </si>
  <si>
    <t>Rishabh Pant</t>
  </si>
  <si>
    <t>Ricky Ponting</t>
  </si>
  <si>
    <t>JSW Group</t>
  </si>
  <si>
    <t>Rajasthan Royals (RR)</t>
  </si>
  <si>
    <t>Sanju Samson</t>
  </si>
  <si>
    <t>Kumar Sangakkara</t>
  </si>
  <si>
    <t>Manoj Badale</t>
  </si>
  <si>
    <t>Punjab Kings (PBKS)</t>
  </si>
  <si>
    <t>Shikhar Dhawan</t>
  </si>
  <si>
    <t>Trevor Bayliss</t>
  </si>
  <si>
    <t>Preity Zinta</t>
  </si>
  <si>
    <t>Sunrisers Hyderabad (SRH)</t>
  </si>
  <si>
    <t>Pat Cummins</t>
  </si>
  <si>
    <t>Daniel Vettori</t>
  </si>
  <si>
    <t>Sun TV Network</t>
  </si>
  <si>
    <t>Match_ID</t>
  </si>
  <si>
    <t>Date</t>
  </si>
  <si>
    <t>Team1_ID</t>
  </si>
  <si>
    <t>Team2_ID</t>
  </si>
  <si>
    <t>Toss_Winner</t>
  </si>
  <si>
    <t>Match_Winner</t>
  </si>
  <si>
    <t>Man_of_Match</t>
  </si>
  <si>
    <t>Team1_Runs</t>
  </si>
  <si>
    <t>Team2_Runs</t>
  </si>
  <si>
    <t>Team1_Wickets</t>
  </si>
  <si>
    <t>Team2_Wickets</t>
  </si>
  <si>
    <t>Overs_Team1</t>
  </si>
  <si>
    <t>Overs_Team2</t>
  </si>
  <si>
    <t>M001</t>
  </si>
  <si>
    <t>M002</t>
  </si>
  <si>
    <t>M003</t>
  </si>
  <si>
    <t>M004</t>
  </si>
  <si>
    <t>M005</t>
  </si>
  <si>
    <t>M006</t>
  </si>
  <si>
    <t>M007</t>
  </si>
  <si>
    <t>M008</t>
  </si>
  <si>
    <t>M009</t>
  </si>
  <si>
    <t>M010</t>
  </si>
  <si>
    <t>M011</t>
  </si>
  <si>
    <t>M012</t>
  </si>
  <si>
    <t>M013</t>
  </si>
  <si>
    <t>M014</t>
  </si>
  <si>
    <t>M015</t>
  </si>
  <si>
    <t>M016</t>
  </si>
  <si>
    <t>M017</t>
  </si>
  <si>
    <t>M018</t>
  </si>
  <si>
    <t>M019</t>
  </si>
  <si>
    <t>M020</t>
  </si>
  <si>
    <t>M021</t>
  </si>
  <si>
    <t>M022</t>
  </si>
  <si>
    <t>M023</t>
  </si>
  <si>
    <t>M024</t>
  </si>
  <si>
    <t>M025</t>
  </si>
  <si>
    <t>M026</t>
  </si>
  <si>
    <t>M027</t>
  </si>
  <si>
    <t>M028</t>
  </si>
  <si>
    <t>M029</t>
  </si>
  <si>
    <t>M030</t>
  </si>
  <si>
    <t>M031</t>
  </si>
  <si>
    <t>M032</t>
  </si>
  <si>
    <t>M033</t>
  </si>
  <si>
    <t>M034</t>
  </si>
  <si>
    <t>M035</t>
  </si>
  <si>
    <t>M036</t>
  </si>
  <si>
    <t>M037</t>
  </si>
  <si>
    <t>M038</t>
  </si>
  <si>
    <t>M039</t>
  </si>
  <si>
    <t>M040</t>
  </si>
  <si>
    <t>M041</t>
  </si>
  <si>
    <t>M042</t>
  </si>
  <si>
    <t>M043</t>
  </si>
  <si>
    <t>M044</t>
  </si>
  <si>
    <t>M045</t>
  </si>
  <si>
    <t>M046</t>
  </si>
  <si>
    <t>M047</t>
  </si>
  <si>
    <t>M048</t>
  </si>
  <si>
    <t>M049</t>
  </si>
  <si>
    <t>M050</t>
  </si>
  <si>
    <t>M051</t>
  </si>
  <si>
    <t>M052</t>
  </si>
  <si>
    <t>M053</t>
  </si>
  <si>
    <t>M054</t>
  </si>
  <si>
    <t>M055</t>
  </si>
  <si>
    <t>M056</t>
  </si>
  <si>
    <t>M057</t>
  </si>
  <si>
    <t>M058</t>
  </si>
  <si>
    <t>M059</t>
  </si>
  <si>
    <t>M060</t>
  </si>
  <si>
    <t>Runs</t>
  </si>
  <si>
    <t>Balls_Faced</t>
  </si>
  <si>
    <t>Fours</t>
  </si>
  <si>
    <t>Sixes</t>
  </si>
  <si>
    <t>Strike_Rate</t>
  </si>
  <si>
    <t>Overs_Bowled</t>
  </si>
  <si>
    <t>Runs_Conceded</t>
  </si>
  <si>
    <t>Wickets</t>
  </si>
  <si>
    <t>Economy</t>
  </si>
  <si>
    <t>M061</t>
  </si>
  <si>
    <t>M062</t>
  </si>
  <si>
    <t>M063</t>
  </si>
  <si>
    <t>M064</t>
  </si>
  <si>
    <t>M065</t>
  </si>
  <si>
    <t>M066</t>
  </si>
  <si>
    <t>M067</t>
  </si>
  <si>
    <t>M068</t>
  </si>
  <si>
    <t>M069</t>
  </si>
  <si>
    <t>M070</t>
  </si>
  <si>
    <t>M071</t>
  </si>
  <si>
    <t>M072</t>
  </si>
  <si>
    <t>M073</t>
  </si>
  <si>
    <t>M074</t>
  </si>
  <si>
    <t>M075</t>
  </si>
  <si>
    <t>M076</t>
  </si>
  <si>
    <t>M077</t>
  </si>
  <si>
    <t>M078</t>
  </si>
  <si>
    <t>M079</t>
  </si>
  <si>
    <t>M080</t>
  </si>
  <si>
    <t>M081</t>
  </si>
  <si>
    <t>M082</t>
  </si>
  <si>
    <t>M083</t>
  </si>
  <si>
    <t>M084</t>
  </si>
  <si>
    <t>M085</t>
  </si>
  <si>
    <t>M086</t>
  </si>
  <si>
    <t>M087</t>
  </si>
  <si>
    <t>M088</t>
  </si>
  <si>
    <t>M089</t>
  </si>
  <si>
    <t>M090</t>
  </si>
  <si>
    <t>M091</t>
  </si>
  <si>
    <t>M092</t>
  </si>
  <si>
    <t>M093</t>
  </si>
  <si>
    <t>M094</t>
  </si>
  <si>
    <t>M095</t>
  </si>
  <si>
    <t>M096</t>
  </si>
  <si>
    <t>M097</t>
  </si>
  <si>
    <t>M098</t>
  </si>
  <si>
    <t>M099</t>
  </si>
  <si>
    <t>M100</t>
  </si>
  <si>
    <t>M101</t>
  </si>
  <si>
    <t>M102</t>
  </si>
  <si>
    <t>M103</t>
  </si>
  <si>
    <t>M104</t>
  </si>
  <si>
    <t>M105</t>
  </si>
  <si>
    <t>M106</t>
  </si>
  <si>
    <t>M107</t>
  </si>
  <si>
    <t>M108</t>
  </si>
  <si>
    <t>M109</t>
  </si>
  <si>
    <t>M110</t>
  </si>
  <si>
    <t>M111</t>
  </si>
  <si>
    <t>M112</t>
  </si>
  <si>
    <t>M113</t>
  </si>
  <si>
    <t>M114</t>
  </si>
  <si>
    <t>M115</t>
  </si>
  <si>
    <t>M116</t>
  </si>
  <si>
    <t>M117</t>
  </si>
  <si>
    <t>M118</t>
  </si>
  <si>
    <t>M119</t>
  </si>
  <si>
    <t>M120</t>
  </si>
  <si>
    <t>M121</t>
  </si>
  <si>
    <t>M122</t>
  </si>
  <si>
    <t>M123</t>
  </si>
  <si>
    <t>M124</t>
  </si>
  <si>
    <t>M125</t>
  </si>
  <si>
    <t>M126</t>
  </si>
  <si>
    <t>M127</t>
  </si>
  <si>
    <t>M128</t>
  </si>
  <si>
    <t>M129</t>
  </si>
  <si>
    <t>M130</t>
  </si>
  <si>
    <t>M131</t>
  </si>
  <si>
    <t>M132</t>
  </si>
  <si>
    <t>M133</t>
  </si>
  <si>
    <t>M134</t>
  </si>
  <si>
    <t>M135</t>
  </si>
  <si>
    <t>M136</t>
  </si>
  <si>
    <t>M137</t>
  </si>
  <si>
    <t>M138</t>
  </si>
  <si>
    <t>M139</t>
  </si>
  <si>
    <t>M140</t>
  </si>
  <si>
    <t>Grand Total</t>
  </si>
  <si>
    <t>Total Runs</t>
  </si>
  <si>
    <t>Total Wickets</t>
  </si>
  <si>
    <t>Team Wins</t>
  </si>
  <si>
    <t>(blank)</t>
  </si>
  <si>
    <t xml:space="preserve"> </t>
  </si>
  <si>
    <t>Player|Team | Role Name</t>
  </si>
  <si>
    <t>Ball Faced</t>
  </si>
  <si>
    <t>Player_Wickets</t>
  </si>
  <si>
    <t>Runs Conceded</t>
  </si>
  <si>
    <t>Strike Rate</t>
  </si>
  <si>
    <t xml:space="preserve">Total Matches </t>
  </si>
  <si>
    <t>Win by Runs</t>
  </si>
  <si>
    <t>Win by Wickets</t>
  </si>
  <si>
    <t>Teams</t>
  </si>
  <si>
    <t>Sum</t>
  </si>
  <si>
    <t>Average</t>
  </si>
  <si>
    <t>Running Total</t>
  </si>
  <si>
    <t>Count</t>
  </si>
  <si>
    <t xml:space="preserve"> Team</t>
  </si>
  <si>
    <t>Count of Team_ID</t>
  </si>
  <si>
    <t>Venue Name</t>
  </si>
  <si>
    <t>Team</t>
  </si>
  <si>
    <t>TOTAL MATCHES</t>
  </si>
  <si>
    <t>TOTAL TEAMS</t>
  </si>
  <si>
    <t>Total Teams</t>
  </si>
  <si>
    <t>TOTAL RUNS</t>
  </si>
  <si>
    <t>TOTAL WICKETS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</si>
</sst>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sz val="14"/>
      <color theme="1"/>
      <name val="Aptos Narrow"/>
      <family val="2"/>
      <scheme val="minor"/>
    </font>
    <font>
      <sz val="36"/>
      <color theme="1"/>
      <name val="Aptos Narrow"/>
      <family val="2"/>
      <scheme val="minor"/>
    </font>
  </fonts>
  <fills count="4">
    <fill>
      <patternFill patternType="none"/>
    </fill>
    <fill>
      <patternFill patternType="gray125"/>
    </fill>
    <fill>
      <patternFill patternType="solid">
        <fgColor theme="3" tint="0.749992370372631"/>
        <bgColor indexed="64"/>
      </patternFill>
    </fill>
    <fill>
      <patternFill patternType="solid">
        <fgColor theme="3" tint="0.89999084444715716"/>
        <bgColor indexed="64"/>
      </patternFill>
    </fill>
  </fills>
  <borders count="8">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s>
  <cellStyleXfs count="1">
    <xf numFmtId="0" fontId="0" fillId="0" borderId="0"/>
  </cellStyleXfs>
  <cellXfs count="19">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0" xfId="0" applyNumberFormat="1"/>
    <xf numFmtId="1" fontId="0" fillId="0" borderId="0" xfId="0" applyNumberFormat="1"/>
    <xf numFmtId="0" fontId="0" fillId="0" borderId="0" xfId="0" applyFont="1"/>
    <xf numFmtId="0" fontId="0" fillId="0" borderId="0" xfId="0" applyAlignment="1">
      <alignment horizontal="left" indent="1"/>
    </xf>
    <xf numFmtId="0" fontId="0" fillId="0" borderId="0" xfId="0" applyAlignment="1">
      <alignment horizontal="left" indent="2"/>
    </xf>
    <xf numFmtId="0" fontId="1" fillId="2" borderId="2" xfId="0" applyFont="1" applyFill="1" applyBorder="1" applyAlignment="1">
      <alignment horizontal="center" vertical="center"/>
    </xf>
    <xf numFmtId="0" fontId="2" fillId="3" borderId="3" xfId="0" applyFont="1" applyFill="1" applyBorder="1" applyAlignment="1">
      <alignment horizontal="center" vertical="center"/>
    </xf>
    <xf numFmtId="0" fontId="2" fillId="3" borderId="0" xfId="0" applyFont="1" applyFill="1" applyBorder="1" applyAlignment="1">
      <alignment horizontal="center" vertical="center"/>
    </xf>
    <xf numFmtId="0" fontId="1" fillId="2" borderId="3" xfId="0" applyFont="1" applyFill="1" applyBorder="1" applyAlignment="1">
      <alignment horizontal="center" vertical="center"/>
    </xf>
    <xf numFmtId="0" fontId="1" fillId="2" borderId="4" xfId="0" applyFont="1" applyFill="1" applyBorder="1" applyAlignment="1">
      <alignment horizontal="center"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1" fillId="2" borderId="1" xfId="0" applyFont="1" applyFill="1" applyBorder="1" applyAlignment="1">
      <alignment horizontal="center" vertical="center"/>
    </xf>
    <xf numFmtId="0" fontId="1" fillId="2" borderId="7" xfId="0" applyFont="1" applyFill="1" applyBorder="1" applyAlignment="1">
      <alignment horizontal="center" vertical="center"/>
    </xf>
    <xf numFmtId="0" fontId="0" fillId="0" borderId="0" xfId="0" applyFont="1" applyAlignment="1">
      <alignment vertical="center"/>
    </xf>
  </cellXfs>
  <cellStyles count="1">
    <cellStyle name="Normal" xfId="0" builtinId="0"/>
  </cellStyles>
  <dxfs count="2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5.xml"/><Relationship Id="rId18" Type="http://schemas.openxmlformats.org/officeDocument/2006/relationships/theme" Target="theme/theme1.xml"/><Relationship Id="rId26" Type="http://schemas.openxmlformats.org/officeDocument/2006/relationships/customXml" Target="../customXml/item2.xml"/><Relationship Id="rId39" Type="http://schemas.openxmlformats.org/officeDocument/2006/relationships/customXml" Target="../customXml/item15.xml"/><Relationship Id="rId21" Type="http://schemas.openxmlformats.org/officeDocument/2006/relationships/sharedStrings" Target="sharedStrings.xml"/><Relationship Id="rId34" Type="http://schemas.openxmlformats.org/officeDocument/2006/relationships/customXml" Target="../customXml/item10.xml"/><Relationship Id="rId42" Type="http://schemas.openxmlformats.org/officeDocument/2006/relationships/customXml" Target="../customXml/item18.xml"/><Relationship Id="rId47" Type="http://schemas.openxmlformats.org/officeDocument/2006/relationships/customXml" Target="../customXml/item23.xml"/><Relationship Id="rId50" Type="http://schemas.openxmlformats.org/officeDocument/2006/relationships/customXml" Target="../customXml/item26.xml"/><Relationship Id="rId7" Type="http://schemas.openxmlformats.org/officeDocument/2006/relationships/worksheet" Target="worksheets/sheet7.xml"/><Relationship Id="rId2" Type="http://schemas.openxmlformats.org/officeDocument/2006/relationships/worksheet" Target="worksheets/sheet2.xml"/><Relationship Id="rId16" Type="http://schemas.microsoft.com/office/2007/relationships/slicerCache" Target="slicerCaches/slicerCache1.xml"/><Relationship Id="rId29" Type="http://schemas.openxmlformats.org/officeDocument/2006/relationships/customXml" Target="../customXml/item5.xml"/><Relationship Id="rId11" Type="http://schemas.openxmlformats.org/officeDocument/2006/relationships/pivotCacheDefinition" Target="pivotCache/pivotCacheDefinition3.xml"/><Relationship Id="rId24" Type="http://schemas.openxmlformats.org/officeDocument/2006/relationships/calcChain" Target="calcChain.xml"/><Relationship Id="rId32" Type="http://schemas.openxmlformats.org/officeDocument/2006/relationships/customXml" Target="../customXml/item8.xml"/><Relationship Id="rId37" Type="http://schemas.openxmlformats.org/officeDocument/2006/relationships/customXml" Target="../customXml/item13.xml"/><Relationship Id="rId40" Type="http://schemas.openxmlformats.org/officeDocument/2006/relationships/customXml" Target="../customXml/item16.xml"/><Relationship Id="rId45" Type="http://schemas.openxmlformats.org/officeDocument/2006/relationships/customXml" Target="../customXml/item21.xml"/><Relationship Id="rId5" Type="http://schemas.openxmlformats.org/officeDocument/2006/relationships/worksheet" Target="worksheets/sheet5.xml"/><Relationship Id="rId15" Type="http://schemas.openxmlformats.org/officeDocument/2006/relationships/pivotCacheDefinition" Target="pivotCache/pivotCacheDefinition7.xml"/><Relationship Id="rId23" Type="http://schemas.microsoft.com/office/2017/10/relationships/person" Target="persons/person.xml"/><Relationship Id="rId28" Type="http://schemas.openxmlformats.org/officeDocument/2006/relationships/customXml" Target="../customXml/item4.xml"/><Relationship Id="rId36" Type="http://schemas.openxmlformats.org/officeDocument/2006/relationships/customXml" Target="../customXml/item12.xml"/><Relationship Id="rId49" Type="http://schemas.openxmlformats.org/officeDocument/2006/relationships/customXml" Target="../customXml/item25.xml"/><Relationship Id="rId10" Type="http://schemas.openxmlformats.org/officeDocument/2006/relationships/pivotCacheDefinition" Target="pivotCache/pivotCacheDefinition2.xml"/><Relationship Id="rId19" Type="http://schemas.openxmlformats.org/officeDocument/2006/relationships/connections" Target="connections.xml"/><Relationship Id="rId31" Type="http://schemas.openxmlformats.org/officeDocument/2006/relationships/customXml" Target="../customXml/item7.xml"/><Relationship Id="rId44" Type="http://schemas.openxmlformats.org/officeDocument/2006/relationships/customXml" Target="../customXml/item20.xml"/><Relationship Id="rId52" Type="http://schemas.openxmlformats.org/officeDocument/2006/relationships/customXml" Target="../customXml/item28.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pivotCacheDefinition" Target="pivotCache/pivotCacheDefinition6.xml"/><Relationship Id="rId22" Type="http://schemas.openxmlformats.org/officeDocument/2006/relationships/powerPivotData" Target="model/item.data"/><Relationship Id="rId27" Type="http://schemas.openxmlformats.org/officeDocument/2006/relationships/customXml" Target="../customXml/item3.xml"/><Relationship Id="rId30" Type="http://schemas.openxmlformats.org/officeDocument/2006/relationships/customXml" Target="../customXml/item6.xml"/><Relationship Id="rId35" Type="http://schemas.openxmlformats.org/officeDocument/2006/relationships/customXml" Target="../customXml/item11.xml"/><Relationship Id="rId43" Type="http://schemas.openxmlformats.org/officeDocument/2006/relationships/customXml" Target="../customXml/item19.xml"/><Relationship Id="rId48" Type="http://schemas.openxmlformats.org/officeDocument/2006/relationships/customXml" Target="../customXml/item24.xml"/><Relationship Id="rId8" Type="http://schemas.openxmlformats.org/officeDocument/2006/relationships/worksheet" Target="worksheets/sheet8.xml"/><Relationship Id="rId51" Type="http://schemas.openxmlformats.org/officeDocument/2006/relationships/customXml" Target="../customXml/item27.xml"/><Relationship Id="rId3" Type="http://schemas.openxmlformats.org/officeDocument/2006/relationships/worksheet" Target="worksheets/sheet3.xml"/><Relationship Id="rId12" Type="http://schemas.openxmlformats.org/officeDocument/2006/relationships/pivotCacheDefinition" Target="pivotCache/pivotCacheDefinition4.xml"/><Relationship Id="rId17" Type="http://schemas.microsoft.com/office/2007/relationships/slicerCache" Target="slicerCaches/slicerCache2.xml"/><Relationship Id="rId25" Type="http://schemas.openxmlformats.org/officeDocument/2006/relationships/customXml" Target="../customXml/item1.xml"/><Relationship Id="rId33" Type="http://schemas.openxmlformats.org/officeDocument/2006/relationships/customXml" Target="../customXml/item9.xml"/><Relationship Id="rId38" Type="http://schemas.openxmlformats.org/officeDocument/2006/relationships/customXml" Target="../customXml/item14.xml"/><Relationship Id="rId46" Type="http://schemas.openxmlformats.org/officeDocument/2006/relationships/customXml" Target="../customXml/item22.xml"/><Relationship Id="rId20" Type="http://schemas.openxmlformats.org/officeDocument/2006/relationships/styles" Target="styles.xml"/><Relationship Id="rId41" Type="http://schemas.openxmlformats.org/officeDocument/2006/relationships/customXml" Target="../customXml/item17.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[IPL Dashbaord.xlsx]Team_Summary!PivotTable12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Wins</a:t>
            </a:r>
            <a:r>
              <a:rPr lang="en-US" baseline="0"/>
              <a:t> Type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w="19050">
            <a:solidFill>
              <a:schemeClr val="lt1"/>
            </a:solidFill>
          </a:ln>
          <a:effectLst/>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Team_Summary!$L$3</c:f>
              <c:strCache>
                <c:ptCount val="1"/>
                <c:pt idx="0">
                  <c:v>Total</c:v>
                </c:pt>
              </c:strCache>
            </c:strRef>
          </c:tx>
          <c:dPt>
            <c:idx val="0"/>
            <c:bubble3D val="0"/>
            <c:spPr>
              <a:solidFill>
                <a:schemeClr val="accent5">
                  <a:tint val="77000"/>
                </a:schemeClr>
              </a:solidFill>
              <a:ln w="19050">
                <a:solidFill>
                  <a:schemeClr val="lt1"/>
                </a:solidFill>
              </a:ln>
              <a:effectLst/>
            </c:spPr>
          </c:dPt>
          <c:dPt>
            <c:idx val="1"/>
            <c:bubble3D val="0"/>
            <c:spPr>
              <a:solidFill>
                <a:schemeClr val="accent5">
                  <a:shade val="76000"/>
                </a:schemeClr>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Team_Summary!$K$4:$K$6</c:f>
              <c:strCache>
                <c:ptCount val="2"/>
                <c:pt idx="0">
                  <c:v>Win by Runs</c:v>
                </c:pt>
                <c:pt idx="1">
                  <c:v>Win by Wickets</c:v>
                </c:pt>
              </c:strCache>
            </c:strRef>
          </c:cat>
          <c:val>
            <c:numRef>
              <c:f>Team_Summary!$L$4:$L$6</c:f>
              <c:numCache>
                <c:formatCode>General</c:formatCode>
                <c:ptCount val="2"/>
                <c:pt idx="0">
                  <c:v>13297</c:v>
                </c:pt>
                <c:pt idx="1">
                  <c:v>7647</c:v>
                </c:pt>
              </c:numCache>
            </c:numRef>
          </c:val>
          <c:extLst>
            <c:ext xmlns:c16="http://schemas.microsoft.com/office/drawing/2014/chart" uri="{C3380CC4-5D6E-409C-BE32-E72D297353CC}">
              <c16:uniqueId val="{00000007-0E83-48B7-8AFE-7103A302266E}"/>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[IPL Dashbaord.xlsx]Team_Summary!PivotTable13</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Venue</a:t>
            </a:r>
            <a:r>
              <a:rPr lang="en-US" baseline="0"/>
              <a:t> vs Match Played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percentStacked"/>
        <c:varyColors val="0"/>
        <c:ser>
          <c:idx val="0"/>
          <c:order val="0"/>
          <c:tx>
            <c:strRef>
              <c:f>Team_Summary!$B$44</c:f>
              <c:strCache>
                <c:ptCount val="1"/>
                <c:pt idx="0">
                  <c:v>Total</c:v>
                </c:pt>
              </c:strCache>
            </c:strRef>
          </c:tx>
          <c:spPr>
            <a:solidFill>
              <a:schemeClr val="accent4"/>
            </a:solidFill>
            <a:ln>
              <a:noFill/>
            </a:ln>
            <a:effectLst/>
          </c:spPr>
          <c:invertIfNegative val="0"/>
          <c:cat>
            <c:strRef>
              <c:f>Team_Summary!$A$45:$A$56</c:f>
              <c:strCache>
                <c:ptCount val="11"/>
                <c:pt idx="0">
                  <c:v>Arun Jaitley Stadium</c:v>
                </c:pt>
                <c:pt idx="1">
                  <c:v>Bharat Ratna Shri Atal Bihari Vajpayee Ekana Cricket Stadium</c:v>
                </c:pt>
                <c:pt idx="2">
                  <c:v>Eden Gardens</c:v>
                </c:pt>
                <c:pt idx="3">
                  <c:v>M. A. Chidambaram Stadium</c:v>
                </c:pt>
                <c:pt idx="4">
                  <c:v>M. Chinnaswamy Stadium</c:v>
                </c:pt>
                <c:pt idx="5">
                  <c:v>Maharaja Yadavindra Singh Int. Cricket Stadium</c:v>
                </c:pt>
                <c:pt idx="6">
                  <c:v>Narendra Modi Stadium</c:v>
                </c:pt>
                <c:pt idx="7">
                  <c:v>Rajiv Gandhi Int. Stadium</c:v>
                </c:pt>
                <c:pt idx="8">
                  <c:v>Sawai Mansingh Stadium</c:v>
                </c:pt>
                <c:pt idx="9">
                  <c:v>Wankhede Stadium</c:v>
                </c:pt>
                <c:pt idx="10">
                  <c:v>(blank)</c:v>
                </c:pt>
              </c:strCache>
            </c:strRef>
          </c:cat>
          <c:val>
            <c:numRef>
              <c:f>Team_Summary!$B$45:$B$56</c:f>
              <c:numCache>
                <c:formatCode>General</c:formatCode>
                <c:ptCount val="11"/>
                <c:pt idx="0">
                  <c:v>8</c:v>
                </c:pt>
                <c:pt idx="1">
                  <c:v>8</c:v>
                </c:pt>
                <c:pt idx="2">
                  <c:v>8</c:v>
                </c:pt>
                <c:pt idx="3">
                  <c:v>8</c:v>
                </c:pt>
                <c:pt idx="4">
                  <c:v>8</c:v>
                </c:pt>
                <c:pt idx="5">
                  <c:v>8</c:v>
                </c:pt>
                <c:pt idx="6">
                  <c:v>8</c:v>
                </c:pt>
                <c:pt idx="7">
                  <c:v>8</c:v>
                </c:pt>
                <c:pt idx="8">
                  <c:v>8</c:v>
                </c:pt>
                <c:pt idx="9">
                  <c:v>8</c:v>
                </c:pt>
                <c:pt idx="10">
                  <c:v>8</c:v>
                </c:pt>
              </c:numCache>
            </c:numRef>
          </c:val>
          <c:extLst>
            <c:ext xmlns:c16="http://schemas.microsoft.com/office/drawing/2014/chart" uri="{C3380CC4-5D6E-409C-BE32-E72D297353CC}">
              <c16:uniqueId val="{00000000-C4C7-4F78-830F-9BD9576192D9}"/>
            </c:ext>
          </c:extLst>
        </c:ser>
        <c:dLbls>
          <c:showLegendKey val="0"/>
          <c:showVal val="0"/>
          <c:showCatName val="0"/>
          <c:showSerName val="0"/>
          <c:showPercent val="0"/>
          <c:showBubbleSize val="0"/>
        </c:dLbls>
        <c:gapWidth val="182"/>
        <c:overlap val="100"/>
        <c:axId val="339626624"/>
        <c:axId val="300659824"/>
      </c:barChart>
      <c:catAx>
        <c:axId val="33962662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0659824"/>
        <c:crosses val="autoZero"/>
        <c:auto val="1"/>
        <c:lblAlgn val="ctr"/>
        <c:lblOffset val="100"/>
        <c:noMultiLvlLbl val="0"/>
      </c:catAx>
      <c:valAx>
        <c:axId val="30065982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Match</a:t>
                </a:r>
                <a:r>
                  <a:rPr lang="en-IN" baseline="0"/>
                  <a:t> Played</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6266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[IPL Dashbaord.xlsx]Team_Summary!PivotTable14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Runs vs Teams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Team_Summary!$B$28</c:f>
              <c:strCache>
                <c:ptCount val="1"/>
                <c:pt idx="0">
                  <c:v>Total</c:v>
                </c:pt>
              </c:strCache>
            </c:strRef>
          </c:tx>
          <c:spPr>
            <a:solidFill>
              <a:schemeClr val="accent2"/>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Team_Summary!$A$29:$A$37</c:f>
              <c:strCache>
                <c:ptCount val="8"/>
                <c:pt idx="0">
                  <c:v>Chennai Super Kings (CSK)</c:v>
                </c:pt>
                <c:pt idx="1">
                  <c:v>Delhi Capitals (DC)</c:v>
                </c:pt>
                <c:pt idx="2">
                  <c:v>Kolkata Knight Riders (KKR)</c:v>
                </c:pt>
                <c:pt idx="3">
                  <c:v>Mumbai Indians (MI)</c:v>
                </c:pt>
                <c:pt idx="4">
                  <c:v>Punjab Kings (PBKS)</c:v>
                </c:pt>
                <c:pt idx="5">
                  <c:v>Rajasthan Royals (RR)</c:v>
                </c:pt>
                <c:pt idx="6">
                  <c:v>Royal Challengers Bengaluru (RCB)</c:v>
                </c:pt>
                <c:pt idx="7">
                  <c:v>Sunrisers Hyderabad (SRH)</c:v>
                </c:pt>
              </c:strCache>
            </c:strRef>
          </c:cat>
          <c:val>
            <c:numRef>
              <c:f>Team_Summary!$B$29:$B$37</c:f>
              <c:numCache>
                <c:formatCode>0</c:formatCode>
                <c:ptCount val="8"/>
                <c:pt idx="0">
                  <c:v>2869</c:v>
                </c:pt>
                <c:pt idx="1">
                  <c:v>2420</c:v>
                </c:pt>
                <c:pt idx="2">
                  <c:v>2788</c:v>
                </c:pt>
                <c:pt idx="3">
                  <c:v>2735</c:v>
                </c:pt>
                <c:pt idx="4">
                  <c:v>2458</c:v>
                </c:pt>
                <c:pt idx="5">
                  <c:v>2318</c:v>
                </c:pt>
                <c:pt idx="6">
                  <c:v>2600</c:v>
                </c:pt>
                <c:pt idx="7">
                  <c:v>2756</c:v>
                </c:pt>
              </c:numCache>
            </c:numRef>
          </c:val>
          <c:extLst>
            <c:ext xmlns:c16="http://schemas.microsoft.com/office/drawing/2014/chart" uri="{C3380CC4-5D6E-409C-BE32-E72D297353CC}">
              <c16:uniqueId val="{00000007-6769-4631-A46D-CE0D3D822620}"/>
            </c:ext>
          </c:extLst>
        </c:ser>
        <c:dLbls>
          <c:showLegendKey val="0"/>
          <c:showVal val="1"/>
          <c:showCatName val="0"/>
          <c:showSerName val="0"/>
          <c:showPercent val="0"/>
          <c:showBubbleSize val="0"/>
        </c:dLbls>
        <c:gapWidth val="150"/>
        <c:shape val="box"/>
        <c:axId val="1439437807"/>
        <c:axId val="300530704"/>
        <c:axId val="0"/>
      </c:bar3DChart>
      <c:catAx>
        <c:axId val="1439437807"/>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0530704"/>
        <c:crosses val="autoZero"/>
        <c:auto val="1"/>
        <c:lblAlgn val="ctr"/>
        <c:lblOffset val="100"/>
        <c:noMultiLvlLbl val="0"/>
      </c:catAx>
      <c:valAx>
        <c:axId val="30053070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94378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[IPL Dashbaord.xlsx]Team_Summary!PivotTable15</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Team vs WIns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Team_Summary!$B$15</c:f>
              <c:strCache>
                <c:ptCount val="1"/>
                <c:pt idx="0">
                  <c:v>Total</c:v>
                </c:pt>
              </c:strCache>
            </c:strRef>
          </c:tx>
          <c:spPr>
            <a:solidFill>
              <a:schemeClr val="accent2"/>
            </a:solidFill>
            <a:ln>
              <a:noFill/>
            </a:ln>
            <a:effectLst/>
            <a:sp3d/>
          </c:spPr>
          <c:invertIfNegative val="0"/>
          <c:cat>
            <c:strRef>
              <c:f>Team_Summary!$A$16:$A$25</c:f>
              <c:strCache>
                <c:ptCount val="9"/>
                <c:pt idx="0">
                  <c:v>Chennai Super Kings (CSK)</c:v>
                </c:pt>
                <c:pt idx="1">
                  <c:v>Delhi Capitals (DC)</c:v>
                </c:pt>
                <c:pt idx="2">
                  <c:v>Kolkata Knight Riders (KKR)</c:v>
                </c:pt>
                <c:pt idx="3">
                  <c:v>Mumbai Indians (MI)</c:v>
                </c:pt>
                <c:pt idx="4">
                  <c:v>Punjab Kings (PBKS)</c:v>
                </c:pt>
                <c:pt idx="5">
                  <c:v>Rajasthan Royals (RR)</c:v>
                </c:pt>
                <c:pt idx="6">
                  <c:v>Royal Challengers Bengaluru (RCB)</c:v>
                </c:pt>
                <c:pt idx="7">
                  <c:v>Sunrisers Hyderabad (SRH)</c:v>
                </c:pt>
                <c:pt idx="8">
                  <c:v>(blank)</c:v>
                </c:pt>
              </c:strCache>
            </c:strRef>
          </c:cat>
          <c:val>
            <c:numRef>
              <c:f>Team_Summary!$B$16:$B$25</c:f>
              <c:numCache>
                <c:formatCode>0</c:formatCode>
                <c:ptCount val="9"/>
                <c:pt idx="0">
                  <c:v>5</c:v>
                </c:pt>
                <c:pt idx="1">
                  <c:v>2</c:v>
                </c:pt>
                <c:pt idx="2">
                  <c:v>4</c:v>
                </c:pt>
                <c:pt idx="3">
                  <c:v>4</c:v>
                </c:pt>
                <c:pt idx="4">
                  <c:v>2</c:v>
                </c:pt>
                <c:pt idx="5">
                  <c:v>4</c:v>
                </c:pt>
                <c:pt idx="6">
                  <c:v>4</c:v>
                </c:pt>
                <c:pt idx="7">
                  <c:v>5</c:v>
                </c:pt>
                <c:pt idx="8">
                  <c:v>0</c:v>
                </c:pt>
              </c:numCache>
            </c:numRef>
          </c:val>
          <c:extLst>
            <c:ext xmlns:c16="http://schemas.microsoft.com/office/drawing/2014/chart" uri="{C3380CC4-5D6E-409C-BE32-E72D297353CC}">
              <c16:uniqueId val="{00000003-1264-4A0B-83AE-87F0EDFDA1F9}"/>
            </c:ext>
          </c:extLst>
        </c:ser>
        <c:dLbls>
          <c:showLegendKey val="0"/>
          <c:showVal val="0"/>
          <c:showCatName val="0"/>
          <c:showSerName val="0"/>
          <c:showPercent val="0"/>
          <c:showBubbleSize val="0"/>
        </c:dLbls>
        <c:gapWidth val="150"/>
        <c:shape val="box"/>
        <c:axId val="828742144"/>
        <c:axId val="1980412207"/>
        <c:axId val="0"/>
      </c:bar3DChart>
      <c:catAx>
        <c:axId val="828742144"/>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0412207"/>
        <c:crosses val="autoZero"/>
        <c:auto val="1"/>
        <c:lblAlgn val="ctr"/>
        <c:lblOffset val="100"/>
        <c:noMultiLvlLbl val="0"/>
      </c:catAx>
      <c:valAx>
        <c:axId val="198041220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87421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[IPL Dashbaord.xlsx]Team_Summary!PivotTable12</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Wins</a:t>
            </a:r>
            <a:r>
              <a:rPr lang="en-US" baseline="0"/>
              <a:t> Type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w="19050">
            <a:solidFill>
              <a:schemeClr val="lt1"/>
            </a:solidFill>
          </a:ln>
          <a:effectLst/>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tint val="77000"/>
            </a:schemeClr>
          </a:solidFill>
          <a:ln w="19050">
            <a:solidFill>
              <a:schemeClr val="lt1"/>
            </a:solidFill>
          </a:ln>
          <a:effectLst/>
        </c:spPr>
      </c:pivotFmt>
      <c:pivotFmt>
        <c:idx val="3"/>
        <c:spPr>
          <a:solidFill>
            <a:schemeClr val="accent5">
              <a:shade val="76000"/>
            </a:schemeClr>
          </a:solidFill>
          <a:ln w="19050">
            <a:solidFill>
              <a:schemeClr val="lt1"/>
            </a:solidFill>
          </a:ln>
          <a:effectLst/>
        </c:spPr>
      </c:pivotFmt>
      <c:pivotFmt>
        <c:idx val="4"/>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tint val="77000"/>
            </a:schemeClr>
          </a:solidFill>
          <a:ln w="19050">
            <a:solidFill>
              <a:schemeClr val="lt1"/>
            </a:solidFill>
          </a:ln>
          <a:effectLst/>
        </c:spPr>
      </c:pivotFmt>
      <c:pivotFmt>
        <c:idx val="6"/>
        <c:spPr>
          <a:solidFill>
            <a:schemeClr val="accent5">
              <a:shade val="76000"/>
            </a:schemeClr>
          </a:solidFill>
          <a:ln w="19050">
            <a:solidFill>
              <a:schemeClr val="lt1"/>
            </a:solidFill>
          </a:ln>
          <a:effectLst/>
        </c:spPr>
      </c:pivotFmt>
    </c:pivotFmts>
    <c:plotArea>
      <c:layout/>
      <c:pieChart>
        <c:varyColors val="1"/>
        <c:ser>
          <c:idx val="0"/>
          <c:order val="0"/>
          <c:tx>
            <c:strRef>
              <c:f>Team_Summary!$L$3</c:f>
              <c:strCache>
                <c:ptCount val="1"/>
                <c:pt idx="0">
                  <c:v>Total</c:v>
                </c:pt>
              </c:strCache>
            </c:strRef>
          </c:tx>
          <c:dPt>
            <c:idx val="0"/>
            <c:bubble3D val="0"/>
            <c:spPr>
              <a:solidFill>
                <a:schemeClr val="accent5">
                  <a:tint val="77000"/>
                </a:schemeClr>
              </a:solidFill>
              <a:ln w="19050">
                <a:solidFill>
                  <a:schemeClr val="lt1"/>
                </a:solidFill>
              </a:ln>
              <a:effectLst/>
            </c:spPr>
          </c:dPt>
          <c:dPt>
            <c:idx val="1"/>
            <c:bubble3D val="0"/>
            <c:spPr>
              <a:solidFill>
                <a:schemeClr val="accent5">
                  <a:shade val="76000"/>
                </a:schemeClr>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Team_Summary!$K$4:$K$6</c:f>
              <c:strCache>
                <c:ptCount val="2"/>
                <c:pt idx="0">
                  <c:v>Win by Runs</c:v>
                </c:pt>
                <c:pt idx="1">
                  <c:v>Win by Wickets</c:v>
                </c:pt>
              </c:strCache>
            </c:strRef>
          </c:cat>
          <c:val>
            <c:numRef>
              <c:f>Team_Summary!$L$4:$L$6</c:f>
              <c:numCache>
                <c:formatCode>General</c:formatCode>
                <c:ptCount val="2"/>
                <c:pt idx="0">
                  <c:v>13297</c:v>
                </c:pt>
                <c:pt idx="1">
                  <c:v>7647</c:v>
                </c:pt>
              </c:numCache>
            </c:numRef>
          </c:val>
          <c:extLst>
            <c:ext xmlns:c16="http://schemas.microsoft.com/office/drawing/2014/chart" uri="{C3380CC4-5D6E-409C-BE32-E72D297353CC}">
              <c16:uniqueId val="{0000000B-C789-47E5-81AE-CF4D0AD14459}"/>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[IPL Dashbaord.xlsx]Team_Summary!PivotTable13</c:name>
    <c:fmtId val="2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Venue</a:t>
            </a:r>
            <a:r>
              <a:rPr lang="en-US" baseline="0"/>
              <a:t> vs Match Played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percentStacked"/>
        <c:varyColors val="0"/>
        <c:ser>
          <c:idx val="0"/>
          <c:order val="0"/>
          <c:tx>
            <c:strRef>
              <c:f>Team_Summary!$B$44</c:f>
              <c:strCache>
                <c:ptCount val="1"/>
                <c:pt idx="0">
                  <c:v>Total</c:v>
                </c:pt>
              </c:strCache>
            </c:strRef>
          </c:tx>
          <c:spPr>
            <a:solidFill>
              <a:schemeClr val="accent4"/>
            </a:solidFill>
            <a:ln>
              <a:noFill/>
            </a:ln>
            <a:effectLst/>
          </c:spPr>
          <c:invertIfNegative val="0"/>
          <c:cat>
            <c:strRef>
              <c:f>Team_Summary!$A$45:$A$56</c:f>
              <c:strCache>
                <c:ptCount val="11"/>
                <c:pt idx="0">
                  <c:v>Arun Jaitley Stadium</c:v>
                </c:pt>
                <c:pt idx="1">
                  <c:v>Bharat Ratna Shri Atal Bihari Vajpayee Ekana Cricket Stadium</c:v>
                </c:pt>
                <c:pt idx="2">
                  <c:v>Eden Gardens</c:v>
                </c:pt>
                <c:pt idx="3">
                  <c:v>M. A. Chidambaram Stadium</c:v>
                </c:pt>
                <c:pt idx="4">
                  <c:v>M. Chinnaswamy Stadium</c:v>
                </c:pt>
                <c:pt idx="5">
                  <c:v>Maharaja Yadavindra Singh Int. Cricket Stadium</c:v>
                </c:pt>
                <c:pt idx="6">
                  <c:v>Narendra Modi Stadium</c:v>
                </c:pt>
                <c:pt idx="7">
                  <c:v>Rajiv Gandhi Int. Stadium</c:v>
                </c:pt>
                <c:pt idx="8">
                  <c:v>Sawai Mansingh Stadium</c:v>
                </c:pt>
                <c:pt idx="9">
                  <c:v>Wankhede Stadium</c:v>
                </c:pt>
                <c:pt idx="10">
                  <c:v>(blank)</c:v>
                </c:pt>
              </c:strCache>
            </c:strRef>
          </c:cat>
          <c:val>
            <c:numRef>
              <c:f>Team_Summary!$B$45:$B$56</c:f>
              <c:numCache>
                <c:formatCode>General</c:formatCode>
                <c:ptCount val="11"/>
                <c:pt idx="0">
                  <c:v>8</c:v>
                </c:pt>
                <c:pt idx="1">
                  <c:v>8</c:v>
                </c:pt>
                <c:pt idx="2">
                  <c:v>8</c:v>
                </c:pt>
                <c:pt idx="3">
                  <c:v>8</c:v>
                </c:pt>
                <c:pt idx="4">
                  <c:v>8</c:v>
                </c:pt>
                <c:pt idx="5">
                  <c:v>8</c:v>
                </c:pt>
                <c:pt idx="6">
                  <c:v>8</c:v>
                </c:pt>
                <c:pt idx="7">
                  <c:v>8</c:v>
                </c:pt>
                <c:pt idx="8">
                  <c:v>8</c:v>
                </c:pt>
                <c:pt idx="9">
                  <c:v>8</c:v>
                </c:pt>
                <c:pt idx="10">
                  <c:v>8</c:v>
                </c:pt>
              </c:numCache>
            </c:numRef>
          </c:val>
          <c:extLst>
            <c:ext xmlns:c16="http://schemas.microsoft.com/office/drawing/2014/chart" uri="{C3380CC4-5D6E-409C-BE32-E72D297353CC}">
              <c16:uniqueId val="{00000000-76F4-4F39-B85C-32EE7863E36D}"/>
            </c:ext>
          </c:extLst>
        </c:ser>
        <c:dLbls>
          <c:showLegendKey val="0"/>
          <c:showVal val="0"/>
          <c:showCatName val="0"/>
          <c:showSerName val="0"/>
          <c:showPercent val="0"/>
          <c:showBubbleSize val="0"/>
        </c:dLbls>
        <c:gapWidth val="182"/>
        <c:overlap val="100"/>
        <c:axId val="339626624"/>
        <c:axId val="300659824"/>
      </c:barChart>
      <c:catAx>
        <c:axId val="33962662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0659824"/>
        <c:crosses val="autoZero"/>
        <c:auto val="1"/>
        <c:lblAlgn val="ctr"/>
        <c:lblOffset val="100"/>
        <c:noMultiLvlLbl val="0"/>
      </c:catAx>
      <c:valAx>
        <c:axId val="30065982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Match</a:t>
                </a:r>
                <a:r>
                  <a:rPr lang="en-IN" baseline="0"/>
                  <a:t> Played</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6266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[IPL Dashbaord.xlsx]Team_Summary!PivotTable14</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Runs vs Teams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Team_Summary!$B$28</c:f>
              <c:strCache>
                <c:ptCount val="1"/>
                <c:pt idx="0">
                  <c:v>Total</c:v>
                </c:pt>
              </c:strCache>
            </c:strRef>
          </c:tx>
          <c:spPr>
            <a:solidFill>
              <a:schemeClr val="accent2"/>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Team_Summary!$A$29:$A$37</c:f>
              <c:strCache>
                <c:ptCount val="8"/>
                <c:pt idx="0">
                  <c:v>Chennai Super Kings (CSK)</c:v>
                </c:pt>
                <c:pt idx="1">
                  <c:v>Delhi Capitals (DC)</c:v>
                </c:pt>
                <c:pt idx="2">
                  <c:v>Kolkata Knight Riders (KKR)</c:v>
                </c:pt>
                <c:pt idx="3">
                  <c:v>Mumbai Indians (MI)</c:v>
                </c:pt>
                <c:pt idx="4">
                  <c:v>Punjab Kings (PBKS)</c:v>
                </c:pt>
                <c:pt idx="5">
                  <c:v>Rajasthan Royals (RR)</c:v>
                </c:pt>
                <c:pt idx="6">
                  <c:v>Royal Challengers Bengaluru (RCB)</c:v>
                </c:pt>
                <c:pt idx="7">
                  <c:v>Sunrisers Hyderabad (SRH)</c:v>
                </c:pt>
              </c:strCache>
            </c:strRef>
          </c:cat>
          <c:val>
            <c:numRef>
              <c:f>Team_Summary!$B$29:$B$37</c:f>
              <c:numCache>
                <c:formatCode>0</c:formatCode>
                <c:ptCount val="8"/>
                <c:pt idx="0">
                  <c:v>2869</c:v>
                </c:pt>
                <c:pt idx="1">
                  <c:v>2420</c:v>
                </c:pt>
                <c:pt idx="2">
                  <c:v>2788</c:v>
                </c:pt>
                <c:pt idx="3">
                  <c:v>2735</c:v>
                </c:pt>
                <c:pt idx="4">
                  <c:v>2458</c:v>
                </c:pt>
                <c:pt idx="5">
                  <c:v>2318</c:v>
                </c:pt>
                <c:pt idx="6">
                  <c:v>2600</c:v>
                </c:pt>
                <c:pt idx="7">
                  <c:v>2756</c:v>
                </c:pt>
              </c:numCache>
            </c:numRef>
          </c:val>
          <c:extLst>
            <c:ext xmlns:c16="http://schemas.microsoft.com/office/drawing/2014/chart" uri="{C3380CC4-5D6E-409C-BE32-E72D297353CC}">
              <c16:uniqueId val="{00000007-D513-4319-A48A-0F10921D49F4}"/>
            </c:ext>
          </c:extLst>
        </c:ser>
        <c:dLbls>
          <c:showLegendKey val="0"/>
          <c:showVal val="1"/>
          <c:showCatName val="0"/>
          <c:showSerName val="0"/>
          <c:showPercent val="0"/>
          <c:showBubbleSize val="0"/>
        </c:dLbls>
        <c:gapWidth val="150"/>
        <c:shape val="box"/>
        <c:axId val="1439437807"/>
        <c:axId val="300530704"/>
        <c:axId val="0"/>
      </c:bar3DChart>
      <c:catAx>
        <c:axId val="1439437807"/>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0530704"/>
        <c:crosses val="autoZero"/>
        <c:auto val="1"/>
        <c:lblAlgn val="ctr"/>
        <c:lblOffset val="100"/>
        <c:noMultiLvlLbl val="0"/>
      </c:catAx>
      <c:valAx>
        <c:axId val="30053070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94378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[IPL Dashbaord.xlsx]Team_Summary!PivotTable15</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Team vs Wins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Team_Summary!$B$15</c:f>
              <c:strCache>
                <c:ptCount val="1"/>
                <c:pt idx="0">
                  <c:v>Total</c:v>
                </c:pt>
              </c:strCache>
            </c:strRef>
          </c:tx>
          <c:spPr>
            <a:solidFill>
              <a:schemeClr val="accent2"/>
            </a:solidFill>
            <a:ln>
              <a:noFill/>
            </a:ln>
            <a:effectLst/>
            <a:sp3d/>
          </c:spPr>
          <c:invertIfNegative val="0"/>
          <c:cat>
            <c:strRef>
              <c:f>Team_Summary!$A$16:$A$25</c:f>
              <c:strCache>
                <c:ptCount val="9"/>
                <c:pt idx="0">
                  <c:v>Chennai Super Kings (CSK)</c:v>
                </c:pt>
                <c:pt idx="1">
                  <c:v>Delhi Capitals (DC)</c:v>
                </c:pt>
                <c:pt idx="2">
                  <c:v>Kolkata Knight Riders (KKR)</c:v>
                </c:pt>
                <c:pt idx="3">
                  <c:v>Mumbai Indians (MI)</c:v>
                </c:pt>
                <c:pt idx="4">
                  <c:v>Punjab Kings (PBKS)</c:v>
                </c:pt>
                <c:pt idx="5">
                  <c:v>Rajasthan Royals (RR)</c:v>
                </c:pt>
                <c:pt idx="6">
                  <c:v>Royal Challengers Bengaluru (RCB)</c:v>
                </c:pt>
                <c:pt idx="7">
                  <c:v>Sunrisers Hyderabad (SRH)</c:v>
                </c:pt>
                <c:pt idx="8">
                  <c:v>(blank)</c:v>
                </c:pt>
              </c:strCache>
            </c:strRef>
          </c:cat>
          <c:val>
            <c:numRef>
              <c:f>Team_Summary!$B$16:$B$25</c:f>
              <c:numCache>
                <c:formatCode>0</c:formatCode>
                <c:ptCount val="9"/>
                <c:pt idx="0">
                  <c:v>5</c:v>
                </c:pt>
                <c:pt idx="1">
                  <c:v>2</c:v>
                </c:pt>
                <c:pt idx="2">
                  <c:v>4</c:v>
                </c:pt>
                <c:pt idx="3">
                  <c:v>4</c:v>
                </c:pt>
                <c:pt idx="4">
                  <c:v>2</c:v>
                </c:pt>
                <c:pt idx="5">
                  <c:v>4</c:v>
                </c:pt>
                <c:pt idx="6">
                  <c:v>4</c:v>
                </c:pt>
                <c:pt idx="7">
                  <c:v>5</c:v>
                </c:pt>
                <c:pt idx="8">
                  <c:v>0</c:v>
                </c:pt>
              </c:numCache>
            </c:numRef>
          </c:val>
          <c:extLst>
            <c:ext xmlns:c16="http://schemas.microsoft.com/office/drawing/2014/chart" uri="{C3380CC4-5D6E-409C-BE32-E72D297353CC}">
              <c16:uniqueId val="{00000003-0259-47E5-9436-0DAE850F1FA0}"/>
            </c:ext>
          </c:extLst>
        </c:ser>
        <c:dLbls>
          <c:showLegendKey val="0"/>
          <c:showVal val="0"/>
          <c:showCatName val="0"/>
          <c:showSerName val="0"/>
          <c:showPercent val="0"/>
          <c:showBubbleSize val="0"/>
        </c:dLbls>
        <c:gapWidth val="150"/>
        <c:shape val="box"/>
        <c:axId val="828742144"/>
        <c:axId val="1980412207"/>
        <c:axId val="0"/>
      </c:bar3DChart>
      <c:catAx>
        <c:axId val="828742144"/>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0412207"/>
        <c:crosses val="autoZero"/>
        <c:auto val="1"/>
        <c:lblAlgn val="ctr"/>
        <c:lblOffset val="100"/>
        <c:noMultiLvlLbl val="0"/>
      </c:catAx>
      <c:valAx>
        <c:axId val="198041220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87421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5">
  <a:schemeClr val="accent5"/>
</cs:colorStyle>
</file>

<file path=xl/charts/colors2.xml><?xml version="1.0" encoding="utf-8"?>
<cs:colorStyle xmlns:cs="http://schemas.microsoft.com/office/drawing/2012/chartStyle" xmlns:a="http://schemas.openxmlformats.org/drawingml/2006/main" meth="withinLinear" id="17">
  <a:schemeClr val="accent4"/>
</cs:colorStyle>
</file>

<file path=xl/charts/colors3.xml><?xml version="1.0" encoding="utf-8"?>
<cs:colorStyle xmlns:cs="http://schemas.microsoft.com/office/drawing/2012/chartStyle" xmlns:a="http://schemas.openxmlformats.org/drawingml/2006/main" meth="withinLinear" id="15">
  <a:schemeClr val="accent2"/>
</cs:colorStyle>
</file>

<file path=xl/charts/colors4.xml><?xml version="1.0" encoding="utf-8"?>
<cs:colorStyle xmlns:cs="http://schemas.microsoft.com/office/drawing/2012/chartStyle" xmlns:a="http://schemas.openxmlformats.org/drawingml/2006/main" meth="withinLinear" id="15">
  <a:schemeClr val="accent2"/>
</cs:colorStyle>
</file>

<file path=xl/charts/colors5.xml><?xml version="1.0" encoding="utf-8"?>
<cs:colorStyle xmlns:cs="http://schemas.microsoft.com/office/drawing/2012/chartStyle" xmlns:a="http://schemas.openxmlformats.org/drawingml/2006/main" meth="withinLinearReversed" id="25">
  <a:schemeClr val="accent5"/>
</cs:colorStyle>
</file>

<file path=xl/charts/colors6.xml><?xml version="1.0" encoding="utf-8"?>
<cs:colorStyle xmlns:cs="http://schemas.microsoft.com/office/drawing/2012/chartStyle" xmlns:a="http://schemas.openxmlformats.org/drawingml/2006/main" meth="withinLinear" id="17">
  <a:schemeClr val="accent4"/>
</cs:colorStyle>
</file>

<file path=xl/charts/colors7.xml><?xml version="1.0" encoding="utf-8"?>
<cs:colorStyle xmlns:cs="http://schemas.microsoft.com/office/drawing/2012/chartStyle" xmlns:a="http://schemas.openxmlformats.org/drawingml/2006/main" meth="withinLinear" id="15">
  <a:schemeClr val="accent2"/>
</cs:colorStyle>
</file>

<file path=xl/charts/colors8.xml><?xml version="1.0" encoding="utf-8"?>
<cs:colorStyle xmlns:cs="http://schemas.microsoft.com/office/drawing/2012/chartStyle" xmlns:a="http://schemas.openxmlformats.org/drawingml/2006/main" meth="withinLinear" id="15">
  <a:schemeClr val="accent2"/>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6" Type="http://schemas.microsoft.com/office/2007/relationships/hdphoto" Target="../media/hdphoto1.wdp"/><Relationship Id="rId5" Type="http://schemas.openxmlformats.org/officeDocument/2006/relationships/image" Target="../media/image1.png"/><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12</xdr:col>
      <xdr:colOff>91440</xdr:colOff>
      <xdr:row>1</xdr:row>
      <xdr:rowOff>175260</xdr:rowOff>
    </xdr:from>
    <xdr:to>
      <xdr:col>15</xdr:col>
      <xdr:colOff>243840</xdr:colOff>
      <xdr:row>11</xdr:row>
      <xdr:rowOff>160020</xdr:rowOff>
    </xdr:to>
    <xdr:graphicFrame macro="">
      <xdr:nvGraphicFramePr>
        <xdr:cNvPr id="5" name="Chart 4">
          <a:extLst>
            <a:ext uri="{FF2B5EF4-FFF2-40B4-BE49-F238E27FC236}">
              <a16:creationId xmlns:a16="http://schemas.microsoft.com/office/drawing/2014/main" id="{5AAC8DDD-4CDD-9D42-A011-6104D4644F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205740</xdr:colOff>
      <xdr:row>42</xdr:row>
      <xdr:rowOff>175260</xdr:rowOff>
    </xdr:from>
    <xdr:to>
      <xdr:col>9</xdr:col>
      <xdr:colOff>167640</xdr:colOff>
      <xdr:row>57</xdr:row>
      <xdr:rowOff>175260</xdr:rowOff>
    </xdr:to>
    <xdr:graphicFrame macro="">
      <xdr:nvGraphicFramePr>
        <xdr:cNvPr id="9" name="Chart 8">
          <a:extLst>
            <a:ext uri="{FF2B5EF4-FFF2-40B4-BE49-F238E27FC236}">
              <a16:creationId xmlns:a16="http://schemas.microsoft.com/office/drawing/2014/main" id="{3EDE8018-9396-AD2D-93AD-E3B015B133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97970</xdr:colOff>
      <xdr:row>27</xdr:row>
      <xdr:rowOff>178654</xdr:rowOff>
    </xdr:from>
    <xdr:to>
      <xdr:col>8</xdr:col>
      <xdr:colOff>241406</xdr:colOff>
      <xdr:row>40</xdr:row>
      <xdr:rowOff>78761</xdr:rowOff>
    </xdr:to>
    <xdr:graphicFrame macro="">
      <xdr:nvGraphicFramePr>
        <xdr:cNvPr id="10" name="Chart 9">
          <a:extLst>
            <a:ext uri="{FF2B5EF4-FFF2-40B4-BE49-F238E27FC236}">
              <a16:creationId xmlns:a16="http://schemas.microsoft.com/office/drawing/2014/main" id="{4E19F5F8-B321-2A04-201A-17032993170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99391</xdr:colOff>
      <xdr:row>13</xdr:row>
      <xdr:rowOff>125895</xdr:rowOff>
    </xdr:from>
    <xdr:to>
      <xdr:col>8</xdr:col>
      <xdr:colOff>59635</xdr:colOff>
      <xdr:row>26</xdr:row>
      <xdr:rowOff>165652</xdr:rowOff>
    </xdr:to>
    <xdr:graphicFrame macro="">
      <xdr:nvGraphicFramePr>
        <xdr:cNvPr id="12" name="Chart 11">
          <a:extLst>
            <a:ext uri="{FF2B5EF4-FFF2-40B4-BE49-F238E27FC236}">
              <a16:creationId xmlns:a16="http://schemas.microsoft.com/office/drawing/2014/main" id="{0991A9B1-2CCB-C51D-9D3D-8FC4AD781A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11</xdr:col>
      <xdr:colOff>600365</xdr:colOff>
      <xdr:row>34</xdr:row>
      <xdr:rowOff>62346</xdr:rowOff>
    </xdr:from>
    <xdr:to>
      <xdr:col>22</xdr:col>
      <xdr:colOff>404091</xdr:colOff>
      <xdr:row>57</xdr:row>
      <xdr:rowOff>118061</xdr:rowOff>
    </xdr:to>
    <xdr:graphicFrame macro="">
      <xdr:nvGraphicFramePr>
        <xdr:cNvPr id="8" name="Chart 7">
          <a:extLst>
            <a:ext uri="{FF2B5EF4-FFF2-40B4-BE49-F238E27FC236}">
              <a16:creationId xmlns:a16="http://schemas.microsoft.com/office/drawing/2014/main" id="{9012D0E9-C3AF-4FAE-8D07-E151752F0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86194</xdr:colOff>
      <xdr:row>9</xdr:row>
      <xdr:rowOff>46544</xdr:rowOff>
    </xdr:from>
    <xdr:to>
      <xdr:col>22</xdr:col>
      <xdr:colOff>392544</xdr:colOff>
      <xdr:row>33</xdr:row>
      <xdr:rowOff>39254</xdr:rowOff>
    </xdr:to>
    <xdr:graphicFrame macro="">
      <xdr:nvGraphicFramePr>
        <xdr:cNvPr id="9" name="Chart 8">
          <a:extLst>
            <a:ext uri="{FF2B5EF4-FFF2-40B4-BE49-F238E27FC236}">
              <a16:creationId xmlns:a16="http://schemas.microsoft.com/office/drawing/2014/main" id="{E2D9705B-3B73-46C2-B5FF-90327573BD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23</xdr:col>
      <xdr:colOff>167012</xdr:colOff>
      <xdr:row>34</xdr:row>
      <xdr:rowOff>56440</xdr:rowOff>
    </xdr:from>
    <xdr:to>
      <xdr:col>26</xdr:col>
      <xdr:colOff>167012</xdr:colOff>
      <xdr:row>48</xdr:row>
      <xdr:rowOff>77395</xdr:rowOff>
    </xdr:to>
    <mc:AlternateContent xmlns:mc="http://schemas.openxmlformats.org/markup-compatibility/2006">
      <mc:Choice xmlns:a14="http://schemas.microsoft.com/office/drawing/2010/main" Requires="a14">
        <xdr:graphicFrame macro="">
          <xdr:nvGraphicFramePr>
            <xdr:cNvPr id="10" name="Team_Name">
              <a:extLst>
                <a:ext uri="{FF2B5EF4-FFF2-40B4-BE49-F238E27FC236}">
                  <a16:creationId xmlns:a16="http://schemas.microsoft.com/office/drawing/2014/main" id="{CA45BA3B-F088-FFF1-E7CC-022649E0C673}"/>
                </a:ext>
              </a:extLst>
            </xdr:cNvPr>
            <xdr:cNvGraphicFramePr/>
          </xdr:nvGraphicFramePr>
          <xdr:xfrm>
            <a:off x="0" y="0"/>
            <a:ext cx="0" cy="0"/>
          </xdr:xfrm>
          <a:graphic>
            <a:graphicData uri="http://schemas.microsoft.com/office/drawing/2010/slicer">
              <sle:slicer xmlns:sle="http://schemas.microsoft.com/office/drawing/2010/slicer" name="Team_Name"/>
            </a:graphicData>
          </a:graphic>
        </xdr:graphicFrame>
      </mc:Choice>
      <mc:Fallback>
        <xdr:sp macro="" textlink="">
          <xdr:nvSpPr>
            <xdr:cNvPr id="0" name=""/>
            <xdr:cNvSpPr>
              <a:spLocks noTextEdit="1"/>
            </xdr:cNvSpPr>
          </xdr:nvSpPr>
          <xdr:spPr>
            <a:xfrm>
              <a:off x="14623241" y="6348383"/>
              <a:ext cx="1828800" cy="261175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34</xdr:row>
      <xdr:rowOff>29389</xdr:rowOff>
    </xdr:from>
    <xdr:to>
      <xdr:col>11</xdr:col>
      <xdr:colOff>489857</xdr:colOff>
      <xdr:row>58</xdr:row>
      <xdr:rowOff>71251</xdr:rowOff>
    </xdr:to>
    <xdr:graphicFrame macro="">
      <xdr:nvGraphicFramePr>
        <xdr:cNvPr id="11" name="Chart 10">
          <a:extLst>
            <a:ext uri="{FF2B5EF4-FFF2-40B4-BE49-F238E27FC236}">
              <a16:creationId xmlns:a16="http://schemas.microsoft.com/office/drawing/2014/main" id="{946E2278-0AD8-4694-A555-C34FFE1AB5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9</xdr:row>
      <xdr:rowOff>61451</xdr:rowOff>
    </xdr:from>
    <xdr:to>
      <xdr:col>12</xdr:col>
      <xdr:colOff>0</xdr:colOff>
      <xdr:row>33</xdr:row>
      <xdr:rowOff>20780</xdr:rowOff>
    </xdr:to>
    <xdr:graphicFrame macro="">
      <xdr:nvGraphicFramePr>
        <xdr:cNvPr id="12" name="Chart 11">
          <a:extLst>
            <a:ext uri="{FF2B5EF4-FFF2-40B4-BE49-F238E27FC236}">
              <a16:creationId xmlns:a16="http://schemas.microsoft.com/office/drawing/2014/main" id="{B351DE5B-7CC8-4297-B3C2-D8CF33F2C9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23</xdr:col>
      <xdr:colOff>102589</xdr:colOff>
      <xdr:row>9</xdr:row>
      <xdr:rowOff>111991</xdr:rowOff>
    </xdr:from>
    <xdr:to>
      <xdr:col>26</xdr:col>
      <xdr:colOff>69274</xdr:colOff>
      <xdr:row>25</xdr:row>
      <xdr:rowOff>154709</xdr:rowOff>
    </xdr:to>
    <mc:AlternateContent xmlns:mc="http://schemas.openxmlformats.org/markup-compatibility/2006">
      <mc:Choice xmlns:a14="http://schemas.microsoft.com/office/drawing/2010/main" Requires="a14">
        <xdr:graphicFrame macro="">
          <xdr:nvGraphicFramePr>
            <xdr:cNvPr id="13" name="Venue_Name">
              <a:extLst>
                <a:ext uri="{FF2B5EF4-FFF2-40B4-BE49-F238E27FC236}">
                  <a16:creationId xmlns:a16="http://schemas.microsoft.com/office/drawing/2014/main" id="{57E1801C-5293-E185-8C2F-246A66275E7F}"/>
                </a:ext>
              </a:extLst>
            </xdr:cNvPr>
            <xdr:cNvGraphicFramePr/>
          </xdr:nvGraphicFramePr>
          <xdr:xfrm>
            <a:off x="0" y="0"/>
            <a:ext cx="0" cy="0"/>
          </xdr:xfrm>
          <a:graphic>
            <a:graphicData uri="http://schemas.microsoft.com/office/drawing/2010/slicer">
              <sle:slicer xmlns:sle="http://schemas.microsoft.com/office/drawing/2010/slicer" name="Venue_Name"/>
            </a:graphicData>
          </a:graphic>
        </xdr:graphicFrame>
      </mc:Choice>
      <mc:Fallback>
        <xdr:sp macro="" textlink="">
          <xdr:nvSpPr>
            <xdr:cNvPr id="0" name=""/>
            <xdr:cNvSpPr>
              <a:spLocks noTextEdit="1"/>
            </xdr:cNvSpPr>
          </xdr:nvSpPr>
          <xdr:spPr>
            <a:xfrm>
              <a:off x="14558818" y="1777505"/>
              <a:ext cx="1795485" cy="300363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193965</xdr:colOff>
      <xdr:row>0</xdr:row>
      <xdr:rowOff>41564</xdr:rowOff>
    </xdr:from>
    <xdr:to>
      <xdr:col>7</xdr:col>
      <xdr:colOff>304800</xdr:colOff>
      <xdr:row>8</xdr:row>
      <xdr:rowOff>50616</xdr:rowOff>
    </xdr:to>
    <xdr:pic>
      <xdr:nvPicPr>
        <xdr:cNvPr id="15" name="Picture 14">
          <a:extLst>
            <a:ext uri="{FF2B5EF4-FFF2-40B4-BE49-F238E27FC236}">
              <a16:creationId xmlns:a16="http://schemas.microsoft.com/office/drawing/2014/main" id="{4A741D44-09DA-E648-49CA-A7BC60FFBC9C}"/>
            </a:ext>
          </a:extLst>
        </xdr:cNvPr>
        <xdr:cNvPicPr>
          <a:picLocks noChangeAspect="1"/>
        </xdr:cNvPicPr>
      </xdr:nvPicPr>
      <xdr:blipFill>
        <a:blip xmlns:r="http://schemas.openxmlformats.org/officeDocument/2006/relationships" r:embed="rId5" cstate="print">
          <a:alphaModFix/>
          <a:extLst>
            <a:ext uri="{BEBA8EAE-BF5A-486C-A8C5-ECC9F3942E4B}">
              <a14:imgProps xmlns:a14="http://schemas.microsoft.com/office/drawing/2010/main">
                <a14:imgLayer r:embed="rId6">
                  <a14:imgEffect>
                    <a14:sharpenSoften amount="50000"/>
                  </a14:imgEffect>
                </a14:imgLayer>
              </a14:imgProps>
            </a:ext>
            <a:ext uri="{28A0092B-C50C-407E-A947-70E740481C1C}">
              <a14:useLocalDpi xmlns:a14="http://schemas.microsoft.com/office/drawing/2010/main" val="0"/>
            </a:ext>
          </a:extLst>
        </a:blip>
        <a:srcRect/>
        <a:stretch/>
      </xdr:blipFill>
      <xdr:spPr>
        <a:xfrm>
          <a:off x="193965" y="41564"/>
          <a:ext cx="4378035" cy="1449925"/>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ruv Panchal" refreshedDate="46295.179671180558" backgroundQuery="1" createdVersion="8" refreshedVersion="8" minRefreshableVersion="3" recordCount="0" supportSubquery="1" supportAdvancedDrill="1" xr:uid="{C5473AAD-9213-41D8-8D67-869581889740}">
  <cacheSource type="external" connectionId="6"/>
  <cacheFields count="2">
    <cacheField name="[dim_venue].[Venue_Name].[Venue_Name]" caption="Venue_Name" numFmtId="0" hierarchy="16" level="1">
      <sharedItems containsBlank="1" count="11">
        <s v="Arun Jaitley Stadium"/>
        <s v="Bharat Ratna Shri Atal Bihari Vajpayee Ekana Cricket Stadium"/>
        <s v="Eden Gardens"/>
        <s v="M. A. Chidambaram Stadium"/>
        <s v="M. Chinnaswamy Stadium"/>
        <s v="Maharaja Yadavindra Singh Int. Cricket Stadium"/>
        <s v="Narendra Modi Stadium"/>
        <s v="Rajiv Gandhi Int. Stadium"/>
        <s v="Sawai Mansingh Stadium"/>
        <s v="Wankhede Stadium"/>
        <m/>
      </sharedItems>
    </cacheField>
    <cacheField name="[Measures].[Count of Team_ID]" caption="Count of Team_ID" numFmtId="0" hierarchy="51" level="32767"/>
  </cacheFields>
  <cacheHierarchies count="78">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0" memberValueDatatype="130" unbalanced="0"/>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0"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2" memberValueDatatype="130" unbalanced="0">
      <fieldsUsage count="2">
        <fieldUsage x="-1"/>
        <fieldUsage x="0"/>
      </fieldsUsage>
    </cacheHierarchy>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Ground]" caption="Home_Ground" attribute="1" defaultMemberUniqueName="[fact_match].[Home_Ground].[All]" allUniqueName="[fact_match].[Home_Ground].[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Count of Team_ID]" caption="Count of Team_ID" measure="1" displayFolder="" measureGroup="dim_team" count="0" oneField="1">
      <fieldsUsage count="1">
        <fieldUsage x="1"/>
      </fieldsUsage>
      <extLst>
        <ext xmlns:x15="http://schemas.microsoft.com/office/spreadsheetml/2010/11/main" uri="{B97F6D7D-B522-45F9-BDA1-12C45D357490}">
          <x15:cacheHierarchy aggregatedColumn="8"/>
        </ext>
      </extLst>
    </cacheHierarchy>
    <cacheHierarchy uniqueName="[Measures].[Count of Team_ID 2]" caption="Count of Team_ID 2" measure="1" displayFolder="" measureGroup="dim_player" count="0">
      <extLst>
        <ext xmlns:x15="http://schemas.microsoft.com/office/spreadsheetml/2010/11/main" uri="{B97F6D7D-B522-45F9-BDA1-12C45D357490}">
          <x15:cacheHierarchy aggregatedColumn="2"/>
        </ext>
      </extLst>
    </cacheHierarchy>
    <cacheHierarchy uniqueName="[Measures].[Count of Match_ID]" caption="Count of Match_ID" measure="1" displayFolder="" measureGroup="fact_match" count="0">
      <extLst>
        <ext xmlns:x15="http://schemas.microsoft.com/office/spreadsheetml/2010/11/main" uri="{B97F6D7D-B522-45F9-BDA1-12C45D357490}">
          <x15:cacheHierarchy aggregatedColumn="19"/>
        </ext>
      </extLst>
    </cacheHierarchy>
    <cacheHierarchy uniqueName="[Measures].[Sum of Runs]" caption="Sum of Runs" measure="1" displayFolder="" measureGroup="fact_player" count="0">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extLst>
        <ext xmlns:x15="http://schemas.microsoft.com/office/spreadsheetml/2010/11/main" uri="{B97F6D7D-B522-45F9-BDA1-12C45D357490}">
          <x15:cacheHierarchy aggregatedColumn="43"/>
        </ext>
      </extLst>
    </cacheHierarchy>
    <cacheHierarchy uniqueName="[Measures].[Sum of Runs_Conceded]" caption="Sum of Runs_Conceded" measure="1" displayFolder="" measureGroup="fact_player" count="0">
      <extLst>
        <ext xmlns:x15="http://schemas.microsoft.com/office/spreadsheetml/2010/11/main" uri="{B97F6D7D-B522-45F9-BDA1-12C45D357490}">
          <x15:cacheHierarchy aggregatedColumn="48"/>
        </ext>
      </extLst>
    </cacheHierarchy>
    <cacheHierarchy uniqueName="[Measures].[Sum of Strike_Rate]" caption="Sum of Strike_Rate" measure="1" displayFolder="" measureGroup="fact_player" count="0">
      <extLst>
        <ext xmlns:x15="http://schemas.microsoft.com/office/spreadsheetml/2010/11/main" uri="{B97F6D7D-B522-45F9-BDA1-12C45D357490}">
          <x15:cacheHierarchy aggregatedColumn="46"/>
        </ext>
      </extLst>
    </cacheHierarchy>
    <cacheHierarchy uniqueName="[Measures].[Sum of Economy]" caption="Sum of Economy" measure="1" displayFolder="" measureGroup="fact_player" count="0">
      <extLst>
        <ext xmlns:x15="http://schemas.microsoft.com/office/spreadsheetml/2010/11/main" uri="{B97F6D7D-B522-45F9-BDA1-12C45D357490}">
          <x15:cacheHierarchy aggregatedColumn="50"/>
        </ext>
      </extLst>
    </cacheHierarchy>
    <cacheHierarchy uniqueName="[Measures].[Count of Win_Type]" caption="Count of Win_Type" measure="1" displayFolder="" measureGroup="fact_match" count="0">
      <extLst>
        <ext xmlns:x15="http://schemas.microsoft.com/office/spreadsheetml/2010/11/main" uri="{B97F6D7D-B522-45F9-BDA1-12C45D357490}">
          <x15:cacheHierarchy aggregatedColumn="35"/>
        </ext>
      </extLst>
    </cacheHierarchy>
    <cacheHierarchy uniqueName="[Measures].[Count of Team_Name]" caption="Count of Team_Name" measure="1" displayFolder="" measureGroup="dim_team" count="0">
      <extLst>
        <ext xmlns:x15="http://schemas.microsoft.com/office/spreadsheetml/2010/11/main" uri="{B97F6D7D-B522-45F9-BDA1-12C45D357490}">
          <x15:cacheHierarchy aggregatedColumn="9"/>
        </ext>
      </extLst>
    </cacheHierarchy>
    <cacheHierarchy uniqueName="[Measures].[Sum of Total_Runs]" caption="Sum of Total_Runs" measure="1" displayFolder="" measureGroup="fact_match" count="0">
      <extLst>
        <ext xmlns:x15="http://schemas.microsoft.com/office/spreadsheetml/2010/11/main" uri="{B97F6D7D-B522-45F9-BDA1-12C45D357490}">
          <x15:cacheHierarchy aggregatedColumn="33"/>
        </ext>
      </extLst>
    </cacheHierarchy>
    <cacheHierarchy uniqueName="[Measures].[Total Matches]" caption="Total Matches" measure="1" displayFolder="" measureGroup="fact_match" count="0"/>
    <cacheHierarchy uniqueName="[Measures].[Total Runs]" caption="Total Runs" measure="1" displayFolder="" measureGroup="fact_match" count="0"/>
    <cacheHierarchy uniqueName="[Measures].[Total Wickets]" caption="Total Wickets" measure="1" displayFolder="" measureGroup="fact_match" count="0"/>
    <cacheHierarchy uniqueName="[Measures].[Player Runs]" caption="Player Runs" measure="1" displayFolder="" measureGroup="fact_player" count="0"/>
    <cacheHierarchy uniqueName="[Measures].[Player_Wickets]" caption="Player_Wickets" measure="1" displayFolder="" measureGroup="fact_player" count="0"/>
    <cacheHierarchy uniqueName="[Measures].[Player avg Strike Rate]" caption="Player avg Strike Rate" measure="1" displayFolder="" measureGroup="fact_player" count="0"/>
    <cacheHierarchy uniqueName="[Measures].[Match Played]" caption="Match Played" measure="1" displayFolder="" measureGroup="fact_match" count="0"/>
    <cacheHierarchy uniqueName="[Measures].[Team Wins]" caption="Team Wins" measure="1" displayFolder="" measureGroup="fact_match" count="0"/>
    <cacheHierarchy uniqueName="[Measures].[Win%]" caption="Win%" measure="1" displayFolder="" measureGroup="fact_match" count="0"/>
    <cacheHierarchy uniqueName="[Measures].[Total Teams]" caption="Total Teams" measure="1" displayFolder="" measureGroup="dim_team"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ruv Panchal" refreshedDate="46295.179671527774" backgroundQuery="1" createdVersion="8" refreshedVersion="8" minRefreshableVersion="3" recordCount="0" supportSubquery="1" supportAdvancedDrill="1" xr:uid="{0A102877-03D0-46D6-9CAC-005940A86603}">
  <cacheSource type="external" connectionId="6"/>
  <cacheFields count="10">
    <cacheField name="[dim_player].[Player_Name].[Player_Name]" caption="Player_Name" numFmtId="0" hierarchy="1" level="1">
      <sharedItems count="33">
        <s v="Abhishek Sharma"/>
        <s v="Andre Russell"/>
        <s v="Arshdeep Singh"/>
        <s v="Axar Patel"/>
        <s v="Bhuvneshwar Kumar"/>
        <s v="Daryl Mitchell"/>
        <s v="David Warner"/>
        <s v="Deepak Chahar"/>
        <s v="Dinesh Karthik"/>
        <s v="Glenn Maxwell"/>
        <s v="Hardik Pandya"/>
        <s v="Heinrich Klaasen"/>
        <s v="Ishan Kishan"/>
        <s v="Jasprit Bumrah"/>
        <s v="Jitesh Sharma"/>
        <s v="Jos Buttler"/>
        <s v="Kagiso Rabada"/>
        <s v="Kuldeep Yadav"/>
        <s v="Liam Livingstone"/>
        <s v="Matheesha Pathirana"/>
        <s v="Mitchell Marsh"/>
        <s v="Mohammed Siraj"/>
        <s v="Rinku Singh"/>
        <s v="Shivam Dube"/>
        <s v="Sunil Narine"/>
        <s v="Suryakumar Yadav"/>
        <s v="Tilak Varma"/>
        <s v="Travis Head"/>
        <s v="Trent Boult"/>
        <s v="Varun Chakravarthy"/>
        <s v="Virat Kohli"/>
        <s v="Yashasvi Jaiswal"/>
        <s v="Yuzvendra Chahal"/>
      </sharedItems>
    </cacheField>
    <cacheField name="[dim_player].[Role].[Role]" caption="Role" numFmtId="0" hierarchy="3" level="1">
      <sharedItems count="4">
        <s v="Batsman"/>
        <s v="Bowler"/>
        <s v="All-Rounder"/>
        <s v="Wicketkeeper"/>
      </sharedItems>
    </cacheField>
    <cacheField name="[dim_team].[Team_Name].[Team_Name]" caption="Team_Name" numFmtId="0" hierarchy="9" level="1">
      <sharedItems containsBlank="1" count="9">
        <s v="Kolkata Knight Riders (KKR)"/>
        <s v="Sunrisers Hyderabad (SRH)"/>
        <m/>
        <s v="Delhi Capitals (DC)"/>
        <s v="Mumbai Indians (MI)"/>
        <s v="Punjab Kings (PBKS)"/>
        <s v="Rajasthan Royals (RR)"/>
        <s v="Royal Challengers Bengaluru (RCB)"/>
        <s v="Chennai Super Kings (CSK)"/>
      </sharedItems>
    </cacheField>
    <cacheField name="[Measures].[Sum of Runs]" caption="Sum of Runs" numFmtId="0" hierarchy="54" level="32767"/>
    <cacheField name="[Measures].[Sum of Balls_Faced]" caption="Sum of Balls_Faced" numFmtId="0" hierarchy="55" level="32767"/>
    <cacheField name="[Measures].[Player_Wickets]" caption="Player_Wickets" numFmtId="0" hierarchy="66" level="32767"/>
    <cacheField name="[Measures].[Sum of Runs_Conceded]" caption="Sum of Runs_Conceded" numFmtId="0" hierarchy="56" level="32767"/>
    <cacheField name="[Measures].[Sum of Strike_Rate]" caption="Sum of Strike_Rate" numFmtId="0" hierarchy="57" level="32767"/>
    <cacheField name="[Measures].[Sum of Economy]" caption="Sum of Economy" numFmtId="0" hierarchy="58" level="32767"/>
    <cacheField name="[dim_venue].[Venue_Name].[Venue_Name]" caption="Venue_Name" numFmtId="0" hierarchy="16" level="1">
      <sharedItems containsSemiMixedTypes="0" containsNonDate="0" containsString="0"/>
    </cacheField>
  </cacheFields>
  <cacheHierarchies count="78">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0"/>
      </fieldsUsage>
    </cacheHierarchy>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2" memberValueDatatype="130" unbalanced="0">
      <fieldsUsage count="2">
        <fieldUsage x="-1"/>
        <fieldUsage x="1"/>
      </fieldsUsage>
    </cacheHierarchy>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fieldsUsage count="2">
        <fieldUsage x="-1"/>
        <fieldUsage x="2"/>
      </fieldsUsage>
    </cacheHierarchy>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2" memberValueDatatype="130" unbalanced="0">
      <fieldsUsage count="2">
        <fieldUsage x="-1"/>
        <fieldUsage x="9"/>
      </fieldsUsage>
    </cacheHierarchy>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Ground]" caption="Home_Ground" attribute="1" defaultMemberUniqueName="[fact_match].[Home_Ground].[All]" allUniqueName="[fact_match].[Home_Ground].[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Count of Team_ID]" caption="Count of Team_ID" measure="1" displayFolder="" measureGroup="dim_team" count="0">
      <extLst>
        <ext xmlns:x15="http://schemas.microsoft.com/office/spreadsheetml/2010/11/main" uri="{B97F6D7D-B522-45F9-BDA1-12C45D357490}">
          <x15:cacheHierarchy aggregatedColumn="8"/>
        </ext>
      </extLst>
    </cacheHierarchy>
    <cacheHierarchy uniqueName="[Measures].[Count of Team_ID 2]" caption="Count of Team_ID 2" measure="1" displayFolder="" measureGroup="dim_player" count="0">
      <extLst>
        <ext xmlns:x15="http://schemas.microsoft.com/office/spreadsheetml/2010/11/main" uri="{B97F6D7D-B522-45F9-BDA1-12C45D357490}">
          <x15:cacheHierarchy aggregatedColumn="2"/>
        </ext>
      </extLst>
    </cacheHierarchy>
    <cacheHierarchy uniqueName="[Measures].[Count of Match_ID]" caption="Count of Match_ID" measure="1" displayFolder="" measureGroup="fact_match" count="0">
      <extLst>
        <ext xmlns:x15="http://schemas.microsoft.com/office/spreadsheetml/2010/11/main" uri="{B97F6D7D-B522-45F9-BDA1-12C45D357490}">
          <x15:cacheHierarchy aggregatedColumn="19"/>
        </ext>
      </extLst>
    </cacheHierarchy>
    <cacheHierarchy uniqueName="[Measures].[Sum of Runs]" caption="Sum of Runs" measure="1" displayFolder="" measureGroup="fact_player" count="0" oneField="1">
      <fieldsUsage count="1">
        <fieldUsage x="3"/>
      </fieldsUsage>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oneField="1">
      <fieldsUsage count="1">
        <fieldUsage x="4"/>
      </fieldsUsage>
      <extLst>
        <ext xmlns:x15="http://schemas.microsoft.com/office/spreadsheetml/2010/11/main" uri="{B97F6D7D-B522-45F9-BDA1-12C45D357490}">
          <x15:cacheHierarchy aggregatedColumn="43"/>
        </ext>
      </extLst>
    </cacheHierarchy>
    <cacheHierarchy uniqueName="[Measures].[Sum of Runs_Conceded]" caption="Sum of Runs_Conceded" measure="1" displayFolder="" measureGroup="fact_player" count="0" oneField="1">
      <fieldsUsage count="1">
        <fieldUsage x="6"/>
      </fieldsUsage>
      <extLst>
        <ext xmlns:x15="http://schemas.microsoft.com/office/spreadsheetml/2010/11/main" uri="{B97F6D7D-B522-45F9-BDA1-12C45D357490}">
          <x15:cacheHierarchy aggregatedColumn="48"/>
        </ext>
      </extLst>
    </cacheHierarchy>
    <cacheHierarchy uniqueName="[Measures].[Sum of Strike_Rate]" caption="Sum of Strike_Rate" measure="1" displayFolder="" measureGroup="fact_player" count="0" oneField="1">
      <fieldsUsage count="1">
        <fieldUsage x="7"/>
      </fieldsUsage>
      <extLst>
        <ext xmlns:x15="http://schemas.microsoft.com/office/spreadsheetml/2010/11/main" uri="{B97F6D7D-B522-45F9-BDA1-12C45D357490}">
          <x15:cacheHierarchy aggregatedColumn="46"/>
        </ext>
      </extLst>
    </cacheHierarchy>
    <cacheHierarchy uniqueName="[Measures].[Sum of Economy]" caption="Sum of Economy" measure="1" displayFolder="" measureGroup="fact_player" count="0" oneField="1">
      <fieldsUsage count="1">
        <fieldUsage x="8"/>
      </fieldsUsage>
      <extLst>
        <ext xmlns:x15="http://schemas.microsoft.com/office/spreadsheetml/2010/11/main" uri="{B97F6D7D-B522-45F9-BDA1-12C45D357490}">
          <x15:cacheHierarchy aggregatedColumn="50"/>
        </ext>
      </extLst>
    </cacheHierarchy>
    <cacheHierarchy uniqueName="[Measures].[Count of Win_Type]" caption="Count of Win_Type" measure="1" displayFolder="" measureGroup="fact_match" count="0">
      <extLst>
        <ext xmlns:x15="http://schemas.microsoft.com/office/spreadsheetml/2010/11/main" uri="{B97F6D7D-B522-45F9-BDA1-12C45D357490}">
          <x15:cacheHierarchy aggregatedColumn="35"/>
        </ext>
      </extLst>
    </cacheHierarchy>
    <cacheHierarchy uniqueName="[Measures].[Count of Team_Name]" caption="Count of Team_Name" measure="1" displayFolder="" measureGroup="dim_team" count="0">
      <extLst>
        <ext xmlns:x15="http://schemas.microsoft.com/office/spreadsheetml/2010/11/main" uri="{B97F6D7D-B522-45F9-BDA1-12C45D357490}">
          <x15:cacheHierarchy aggregatedColumn="9"/>
        </ext>
      </extLst>
    </cacheHierarchy>
    <cacheHierarchy uniqueName="[Measures].[Sum of Total_Runs]" caption="Sum of Total_Runs" measure="1" displayFolder="" measureGroup="fact_match" count="0">
      <extLst>
        <ext xmlns:x15="http://schemas.microsoft.com/office/spreadsheetml/2010/11/main" uri="{B97F6D7D-B522-45F9-BDA1-12C45D357490}">
          <x15:cacheHierarchy aggregatedColumn="33"/>
        </ext>
      </extLst>
    </cacheHierarchy>
    <cacheHierarchy uniqueName="[Measures].[Total Matches]" caption="Total Matches" measure="1" displayFolder="" measureGroup="fact_match" count="0"/>
    <cacheHierarchy uniqueName="[Measures].[Total Runs]" caption="Total Runs" measure="1" displayFolder="" measureGroup="fact_match" count="0"/>
    <cacheHierarchy uniqueName="[Measures].[Total Wickets]" caption="Total Wickets" measure="1" displayFolder="" measureGroup="fact_match" count="0"/>
    <cacheHierarchy uniqueName="[Measures].[Player Runs]" caption="Player Runs" measure="1" displayFolder="" measureGroup="fact_player" count="0"/>
    <cacheHierarchy uniqueName="[Measures].[Player_Wickets]" caption="Player_Wickets" measure="1" displayFolder="" measureGroup="fact_player" count="0" oneField="1">
      <fieldsUsage count="1">
        <fieldUsage x="5"/>
      </fieldsUsage>
    </cacheHierarchy>
    <cacheHierarchy uniqueName="[Measures].[Player avg Strike Rate]" caption="Player avg Strike Rate" measure="1" displayFolder="" measureGroup="fact_player" count="0"/>
    <cacheHierarchy uniqueName="[Measures].[Match Played]" caption="Match Played" measure="1" displayFolder="" measureGroup="fact_match" count="0"/>
    <cacheHierarchy uniqueName="[Measures].[Team Wins]" caption="Team Wins" measure="1" displayFolder="" measureGroup="fact_match" count="0"/>
    <cacheHierarchy uniqueName="[Measures].[Win%]" caption="Win%" measure="1" displayFolder="" measureGroup="fact_match" count="0"/>
    <cacheHierarchy uniqueName="[Measures].[Total Teams]" caption="Total Teams" measure="1" displayFolder="" measureGroup="dim_team"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ruv Panchal" refreshedDate="46295.179671874997" backgroundQuery="1" createdVersion="8" refreshedVersion="8" minRefreshableVersion="3" recordCount="0" supportSubquery="1" supportAdvancedDrill="1" xr:uid="{B674BB76-AAAE-4269-9B75-F33946B05B58}">
  <cacheSource type="external" connectionId="6"/>
  <cacheFields count="3">
    <cacheField name="[fact_match].[Win_Type].[Win_Type]" caption="Win_Type" numFmtId="0" hierarchy="35" level="1">
      <sharedItems count="2">
        <s v="Win by Runs"/>
        <s v="Win by Wickets"/>
      </sharedItems>
    </cacheField>
    <cacheField name="[Measures].[Sum of Total_Runs]" caption="Sum of Total_Runs" numFmtId="0" hierarchy="61" level="32767"/>
    <cacheField name="[dim_venue].[Venue_Name].[Venue_Name]" caption="Venue_Name" numFmtId="0" hierarchy="16" level="1">
      <sharedItems containsSemiMixedTypes="0" containsNonDate="0" containsString="0"/>
    </cacheField>
  </cacheFields>
  <cacheHierarchies count="78">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0" memberValueDatatype="130" unbalanced="0"/>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0"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2" memberValueDatatype="130" unbalanced="0">
      <fieldsUsage count="2">
        <fieldUsage x="-1"/>
        <fieldUsage x="2"/>
      </fieldsUsage>
    </cacheHierarchy>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2" memberValueDatatype="130" unbalanced="0">
      <fieldsUsage count="2">
        <fieldUsage x="-1"/>
        <fieldUsage x="0"/>
      </fieldsUsage>
    </cacheHierarchy>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Ground]" caption="Home_Ground" attribute="1" defaultMemberUniqueName="[fact_match].[Home_Ground].[All]" allUniqueName="[fact_match].[Home_Ground].[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Count of Team_ID]" caption="Count of Team_ID" measure="1" displayFolder="" measureGroup="dim_team" count="0">
      <extLst>
        <ext xmlns:x15="http://schemas.microsoft.com/office/spreadsheetml/2010/11/main" uri="{B97F6D7D-B522-45F9-BDA1-12C45D357490}">
          <x15:cacheHierarchy aggregatedColumn="8"/>
        </ext>
      </extLst>
    </cacheHierarchy>
    <cacheHierarchy uniqueName="[Measures].[Count of Team_ID 2]" caption="Count of Team_ID 2" measure="1" displayFolder="" measureGroup="dim_player" count="0">
      <extLst>
        <ext xmlns:x15="http://schemas.microsoft.com/office/spreadsheetml/2010/11/main" uri="{B97F6D7D-B522-45F9-BDA1-12C45D357490}">
          <x15:cacheHierarchy aggregatedColumn="2"/>
        </ext>
      </extLst>
    </cacheHierarchy>
    <cacheHierarchy uniqueName="[Measures].[Count of Match_ID]" caption="Count of Match_ID" measure="1" displayFolder="" measureGroup="fact_match" count="0">
      <extLst>
        <ext xmlns:x15="http://schemas.microsoft.com/office/spreadsheetml/2010/11/main" uri="{B97F6D7D-B522-45F9-BDA1-12C45D357490}">
          <x15:cacheHierarchy aggregatedColumn="19"/>
        </ext>
      </extLst>
    </cacheHierarchy>
    <cacheHierarchy uniqueName="[Measures].[Sum of Runs]" caption="Sum of Runs" measure="1" displayFolder="" measureGroup="fact_player" count="0">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extLst>
        <ext xmlns:x15="http://schemas.microsoft.com/office/spreadsheetml/2010/11/main" uri="{B97F6D7D-B522-45F9-BDA1-12C45D357490}">
          <x15:cacheHierarchy aggregatedColumn="43"/>
        </ext>
      </extLst>
    </cacheHierarchy>
    <cacheHierarchy uniqueName="[Measures].[Sum of Runs_Conceded]" caption="Sum of Runs_Conceded" measure="1" displayFolder="" measureGroup="fact_player" count="0">
      <extLst>
        <ext xmlns:x15="http://schemas.microsoft.com/office/spreadsheetml/2010/11/main" uri="{B97F6D7D-B522-45F9-BDA1-12C45D357490}">
          <x15:cacheHierarchy aggregatedColumn="48"/>
        </ext>
      </extLst>
    </cacheHierarchy>
    <cacheHierarchy uniqueName="[Measures].[Sum of Strike_Rate]" caption="Sum of Strike_Rate" measure="1" displayFolder="" measureGroup="fact_player" count="0">
      <extLst>
        <ext xmlns:x15="http://schemas.microsoft.com/office/spreadsheetml/2010/11/main" uri="{B97F6D7D-B522-45F9-BDA1-12C45D357490}">
          <x15:cacheHierarchy aggregatedColumn="46"/>
        </ext>
      </extLst>
    </cacheHierarchy>
    <cacheHierarchy uniqueName="[Measures].[Sum of Economy]" caption="Sum of Economy" measure="1" displayFolder="" measureGroup="fact_player" count="0">
      <extLst>
        <ext xmlns:x15="http://schemas.microsoft.com/office/spreadsheetml/2010/11/main" uri="{B97F6D7D-B522-45F9-BDA1-12C45D357490}">
          <x15:cacheHierarchy aggregatedColumn="50"/>
        </ext>
      </extLst>
    </cacheHierarchy>
    <cacheHierarchy uniqueName="[Measures].[Count of Win_Type]" caption="Count of Win_Type" measure="1" displayFolder="" measureGroup="fact_match" count="0">
      <extLst>
        <ext xmlns:x15="http://schemas.microsoft.com/office/spreadsheetml/2010/11/main" uri="{B97F6D7D-B522-45F9-BDA1-12C45D357490}">
          <x15:cacheHierarchy aggregatedColumn="35"/>
        </ext>
      </extLst>
    </cacheHierarchy>
    <cacheHierarchy uniqueName="[Measures].[Count of Team_Name]" caption="Count of Team_Name" measure="1" displayFolder="" measureGroup="dim_team" count="0">
      <extLst>
        <ext xmlns:x15="http://schemas.microsoft.com/office/spreadsheetml/2010/11/main" uri="{B97F6D7D-B522-45F9-BDA1-12C45D357490}">
          <x15:cacheHierarchy aggregatedColumn="9"/>
        </ext>
      </extLst>
    </cacheHierarchy>
    <cacheHierarchy uniqueName="[Measures].[Sum of Total_Runs]" caption="Sum of Total_Runs" measure="1" displayFolder="" measureGroup="fact_match" count="0" oneField="1">
      <fieldsUsage count="1">
        <fieldUsage x="1"/>
      </fieldsUsage>
      <extLst>
        <ext xmlns:x15="http://schemas.microsoft.com/office/spreadsheetml/2010/11/main" uri="{B97F6D7D-B522-45F9-BDA1-12C45D357490}">
          <x15:cacheHierarchy aggregatedColumn="33"/>
        </ext>
      </extLst>
    </cacheHierarchy>
    <cacheHierarchy uniqueName="[Measures].[Total Matches]" caption="Total Matches" measure="1" displayFolder="" measureGroup="fact_match" count="0"/>
    <cacheHierarchy uniqueName="[Measures].[Total Runs]" caption="Total Runs" measure="1" displayFolder="" measureGroup="fact_match" count="0"/>
    <cacheHierarchy uniqueName="[Measures].[Total Wickets]" caption="Total Wickets" measure="1" displayFolder="" measureGroup="fact_match" count="0"/>
    <cacheHierarchy uniqueName="[Measures].[Player Runs]" caption="Player Runs" measure="1" displayFolder="" measureGroup="fact_player" count="0"/>
    <cacheHierarchy uniqueName="[Measures].[Player_Wickets]" caption="Player_Wickets" measure="1" displayFolder="" measureGroup="fact_player" count="0"/>
    <cacheHierarchy uniqueName="[Measures].[Player avg Strike Rate]" caption="Player avg Strike Rate" measure="1" displayFolder="" measureGroup="fact_player" count="0"/>
    <cacheHierarchy uniqueName="[Measures].[Match Played]" caption="Match Played" measure="1" displayFolder="" measureGroup="fact_match" count="0"/>
    <cacheHierarchy uniqueName="[Measures].[Team Wins]" caption="Team Wins" measure="1" displayFolder="" measureGroup="fact_match" count="0"/>
    <cacheHierarchy uniqueName="[Measures].[Win%]" caption="Win%" measure="1" displayFolder="" measureGroup="fact_match" count="0"/>
    <cacheHierarchy uniqueName="[Measures].[Total Teams]" caption="Total Teams" measure="1" displayFolder="" measureGroup="dim_team"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ruv Panchal" refreshedDate="46295.179672222221" backgroundQuery="1" createdVersion="8" refreshedVersion="8" minRefreshableVersion="3" recordCount="0" supportSubquery="1" supportAdvancedDrill="1" xr:uid="{A3ED1D02-A400-49D7-AD77-692C0BF8E46E}">
  <cacheSource type="external" connectionId="6"/>
  <cacheFields count="3">
    <cacheField name="[dim_team].[Team_Name].[Team_Name]" caption="Team_Name" numFmtId="0" hierarchy="9" level="1">
      <sharedItems count="8">
        <s v="Chennai Super Kings (CSK)"/>
        <s v="Delhi Capitals (DC)"/>
        <s v="Kolkata Knight Riders (KKR)"/>
        <s v="Mumbai Indians (MI)"/>
        <s v="Punjab Kings (PBKS)"/>
        <s v="Rajasthan Royals (RR)"/>
        <s v="Royal Challengers Bengaluru (RCB)"/>
        <s v="Sunrisers Hyderabad (SRH)"/>
      </sharedItems>
    </cacheField>
    <cacheField name="[Measures].[Total Runs]" caption="Total Runs" numFmtId="0" hierarchy="63" level="32767"/>
    <cacheField name="[dim_venue].[Venue_Name].[Venue_Name]" caption="Venue_Name" numFmtId="0" hierarchy="16" level="1">
      <sharedItems containsSemiMixedTypes="0" containsNonDate="0" containsString="0"/>
    </cacheField>
  </cacheFields>
  <cacheHierarchies count="78">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0" memberValueDatatype="130" unbalanced="0"/>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0"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fieldsUsage count="2">
        <fieldUsage x="-1"/>
        <fieldUsage x="0"/>
      </fieldsUsage>
    </cacheHierarchy>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2" memberValueDatatype="130" unbalanced="0">
      <fieldsUsage count="2">
        <fieldUsage x="-1"/>
        <fieldUsage x="2"/>
      </fieldsUsage>
    </cacheHierarchy>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Ground]" caption="Home_Ground" attribute="1" defaultMemberUniqueName="[fact_match].[Home_Ground].[All]" allUniqueName="[fact_match].[Home_Ground].[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Count of Team_ID]" caption="Count of Team_ID" measure="1" displayFolder="" measureGroup="dim_team" count="0">
      <extLst>
        <ext xmlns:x15="http://schemas.microsoft.com/office/spreadsheetml/2010/11/main" uri="{B97F6D7D-B522-45F9-BDA1-12C45D357490}">
          <x15:cacheHierarchy aggregatedColumn="8"/>
        </ext>
      </extLst>
    </cacheHierarchy>
    <cacheHierarchy uniqueName="[Measures].[Count of Team_ID 2]" caption="Count of Team_ID 2" measure="1" displayFolder="" measureGroup="dim_player" count="0">
      <extLst>
        <ext xmlns:x15="http://schemas.microsoft.com/office/spreadsheetml/2010/11/main" uri="{B97F6D7D-B522-45F9-BDA1-12C45D357490}">
          <x15:cacheHierarchy aggregatedColumn="2"/>
        </ext>
      </extLst>
    </cacheHierarchy>
    <cacheHierarchy uniqueName="[Measures].[Count of Match_ID]" caption="Count of Match_ID" measure="1" displayFolder="" measureGroup="fact_match" count="0">
      <extLst>
        <ext xmlns:x15="http://schemas.microsoft.com/office/spreadsheetml/2010/11/main" uri="{B97F6D7D-B522-45F9-BDA1-12C45D357490}">
          <x15:cacheHierarchy aggregatedColumn="19"/>
        </ext>
      </extLst>
    </cacheHierarchy>
    <cacheHierarchy uniqueName="[Measures].[Sum of Runs]" caption="Sum of Runs" measure="1" displayFolder="" measureGroup="fact_player" count="0">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extLst>
        <ext xmlns:x15="http://schemas.microsoft.com/office/spreadsheetml/2010/11/main" uri="{B97F6D7D-B522-45F9-BDA1-12C45D357490}">
          <x15:cacheHierarchy aggregatedColumn="43"/>
        </ext>
      </extLst>
    </cacheHierarchy>
    <cacheHierarchy uniqueName="[Measures].[Sum of Runs_Conceded]" caption="Sum of Runs_Conceded" measure="1" displayFolder="" measureGroup="fact_player" count="0">
      <extLst>
        <ext xmlns:x15="http://schemas.microsoft.com/office/spreadsheetml/2010/11/main" uri="{B97F6D7D-B522-45F9-BDA1-12C45D357490}">
          <x15:cacheHierarchy aggregatedColumn="48"/>
        </ext>
      </extLst>
    </cacheHierarchy>
    <cacheHierarchy uniqueName="[Measures].[Sum of Strike_Rate]" caption="Sum of Strike_Rate" measure="1" displayFolder="" measureGroup="fact_player" count="0">
      <extLst>
        <ext xmlns:x15="http://schemas.microsoft.com/office/spreadsheetml/2010/11/main" uri="{B97F6D7D-B522-45F9-BDA1-12C45D357490}">
          <x15:cacheHierarchy aggregatedColumn="46"/>
        </ext>
      </extLst>
    </cacheHierarchy>
    <cacheHierarchy uniqueName="[Measures].[Sum of Economy]" caption="Sum of Economy" measure="1" displayFolder="" measureGroup="fact_player" count="0">
      <extLst>
        <ext xmlns:x15="http://schemas.microsoft.com/office/spreadsheetml/2010/11/main" uri="{B97F6D7D-B522-45F9-BDA1-12C45D357490}">
          <x15:cacheHierarchy aggregatedColumn="50"/>
        </ext>
      </extLst>
    </cacheHierarchy>
    <cacheHierarchy uniqueName="[Measures].[Count of Win_Type]" caption="Count of Win_Type" measure="1" displayFolder="" measureGroup="fact_match" count="0">
      <extLst>
        <ext xmlns:x15="http://schemas.microsoft.com/office/spreadsheetml/2010/11/main" uri="{B97F6D7D-B522-45F9-BDA1-12C45D357490}">
          <x15:cacheHierarchy aggregatedColumn="35"/>
        </ext>
      </extLst>
    </cacheHierarchy>
    <cacheHierarchy uniqueName="[Measures].[Count of Team_Name]" caption="Count of Team_Name" measure="1" displayFolder="" measureGroup="dim_team" count="0">
      <extLst>
        <ext xmlns:x15="http://schemas.microsoft.com/office/spreadsheetml/2010/11/main" uri="{B97F6D7D-B522-45F9-BDA1-12C45D357490}">
          <x15:cacheHierarchy aggregatedColumn="9"/>
        </ext>
      </extLst>
    </cacheHierarchy>
    <cacheHierarchy uniqueName="[Measures].[Sum of Total_Runs]" caption="Sum of Total_Runs" measure="1" displayFolder="" measureGroup="fact_match" count="0">
      <extLst>
        <ext xmlns:x15="http://schemas.microsoft.com/office/spreadsheetml/2010/11/main" uri="{B97F6D7D-B522-45F9-BDA1-12C45D357490}">
          <x15:cacheHierarchy aggregatedColumn="33"/>
        </ext>
      </extLst>
    </cacheHierarchy>
    <cacheHierarchy uniqueName="[Measures].[Total Matches]" caption="Total Matches" measure="1" displayFolder="" measureGroup="fact_match" count="0"/>
    <cacheHierarchy uniqueName="[Measures].[Total Runs]" caption="Total Runs" measure="1" displayFolder="" measureGroup="fact_match" count="0" oneField="1">
      <fieldsUsage count="1">
        <fieldUsage x="1"/>
      </fieldsUsage>
    </cacheHierarchy>
    <cacheHierarchy uniqueName="[Measures].[Total Wickets]" caption="Total Wickets" measure="1" displayFolder="" measureGroup="fact_match" count="0"/>
    <cacheHierarchy uniqueName="[Measures].[Player Runs]" caption="Player Runs" measure="1" displayFolder="" measureGroup="fact_player" count="0"/>
    <cacheHierarchy uniqueName="[Measures].[Player_Wickets]" caption="Player_Wickets" measure="1" displayFolder="" measureGroup="fact_player" count="0"/>
    <cacheHierarchy uniqueName="[Measures].[Player avg Strike Rate]" caption="Player avg Strike Rate" measure="1" displayFolder="" measureGroup="fact_player" count="0"/>
    <cacheHierarchy uniqueName="[Measures].[Match Played]" caption="Match Played" measure="1" displayFolder="" measureGroup="fact_match" count="0"/>
    <cacheHierarchy uniqueName="[Measures].[Team Wins]" caption="Team Wins" measure="1" displayFolder="" measureGroup="fact_match" count="0"/>
    <cacheHierarchy uniqueName="[Measures].[Win%]" caption="Win%" measure="1" displayFolder="" measureGroup="fact_match" count="0"/>
    <cacheHierarchy uniqueName="[Measures].[Total Teams]" caption="Total Teams" measure="1" displayFolder="" measureGroup="dim_team"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ruv Panchal" refreshedDate="46295.179672569444" backgroundQuery="1" createdVersion="8" refreshedVersion="8" minRefreshableVersion="3" recordCount="0" supportSubquery="1" supportAdvancedDrill="1" xr:uid="{496CEEB0-A4CC-4A3B-A185-0F12CACFA314}">
  <cacheSource type="external" connectionId="6"/>
  <cacheFields count="3">
    <cacheField name="[dim_team].[Team_Name].[Team_Name]" caption="Team_Name" numFmtId="0" hierarchy="9" level="1">
      <sharedItems containsBlank="1" count="9">
        <s v="Chennai Super Kings (CSK)"/>
        <s v="Delhi Capitals (DC)"/>
        <s v="Kolkata Knight Riders (KKR)"/>
        <s v="Mumbai Indians (MI)"/>
        <s v="Punjab Kings (PBKS)"/>
        <s v="Rajasthan Royals (RR)"/>
        <s v="Royal Challengers Bengaluru (RCB)"/>
        <s v="Sunrisers Hyderabad (SRH)"/>
        <m/>
      </sharedItems>
    </cacheField>
    <cacheField name="[Measures].[Team Wins]" caption="Team Wins" numFmtId="0" hierarchy="69" level="32767"/>
    <cacheField name="[dim_venue].[Venue_Name].[Venue_Name]" caption="Venue_Name" numFmtId="0" hierarchy="16" level="1">
      <sharedItems containsSemiMixedTypes="0" containsNonDate="0" containsString="0"/>
    </cacheField>
  </cacheFields>
  <cacheHierarchies count="78">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0" memberValueDatatype="130" unbalanced="0"/>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0"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fieldsUsage count="2">
        <fieldUsage x="-1"/>
        <fieldUsage x="0"/>
      </fieldsUsage>
    </cacheHierarchy>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2" memberValueDatatype="130" unbalanced="0">
      <fieldsUsage count="2">
        <fieldUsage x="-1"/>
        <fieldUsage x="2"/>
      </fieldsUsage>
    </cacheHierarchy>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Ground]" caption="Home_Ground" attribute="1" defaultMemberUniqueName="[fact_match].[Home_Ground].[All]" allUniqueName="[fact_match].[Home_Ground].[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Count of Team_ID]" caption="Count of Team_ID" measure="1" displayFolder="" measureGroup="dim_team" count="0">
      <extLst>
        <ext xmlns:x15="http://schemas.microsoft.com/office/spreadsheetml/2010/11/main" uri="{B97F6D7D-B522-45F9-BDA1-12C45D357490}">
          <x15:cacheHierarchy aggregatedColumn="8"/>
        </ext>
      </extLst>
    </cacheHierarchy>
    <cacheHierarchy uniqueName="[Measures].[Count of Team_ID 2]" caption="Count of Team_ID 2" measure="1" displayFolder="" measureGroup="dim_player" count="0">
      <extLst>
        <ext xmlns:x15="http://schemas.microsoft.com/office/spreadsheetml/2010/11/main" uri="{B97F6D7D-B522-45F9-BDA1-12C45D357490}">
          <x15:cacheHierarchy aggregatedColumn="2"/>
        </ext>
      </extLst>
    </cacheHierarchy>
    <cacheHierarchy uniqueName="[Measures].[Count of Match_ID]" caption="Count of Match_ID" measure="1" displayFolder="" measureGroup="fact_match" count="0">
      <extLst>
        <ext xmlns:x15="http://schemas.microsoft.com/office/spreadsheetml/2010/11/main" uri="{B97F6D7D-B522-45F9-BDA1-12C45D357490}">
          <x15:cacheHierarchy aggregatedColumn="19"/>
        </ext>
      </extLst>
    </cacheHierarchy>
    <cacheHierarchy uniqueName="[Measures].[Sum of Runs]" caption="Sum of Runs" measure="1" displayFolder="" measureGroup="fact_player" count="0">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extLst>
        <ext xmlns:x15="http://schemas.microsoft.com/office/spreadsheetml/2010/11/main" uri="{B97F6D7D-B522-45F9-BDA1-12C45D357490}">
          <x15:cacheHierarchy aggregatedColumn="43"/>
        </ext>
      </extLst>
    </cacheHierarchy>
    <cacheHierarchy uniqueName="[Measures].[Sum of Runs_Conceded]" caption="Sum of Runs_Conceded" measure="1" displayFolder="" measureGroup="fact_player" count="0">
      <extLst>
        <ext xmlns:x15="http://schemas.microsoft.com/office/spreadsheetml/2010/11/main" uri="{B97F6D7D-B522-45F9-BDA1-12C45D357490}">
          <x15:cacheHierarchy aggregatedColumn="48"/>
        </ext>
      </extLst>
    </cacheHierarchy>
    <cacheHierarchy uniqueName="[Measures].[Sum of Strike_Rate]" caption="Sum of Strike_Rate" measure="1" displayFolder="" measureGroup="fact_player" count="0">
      <extLst>
        <ext xmlns:x15="http://schemas.microsoft.com/office/spreadsheetml/2010/11/main" uri="{B97F6D7D-B522-45F9-BDA1-12C45D357490}">
          <x15:cacheHierarchy aggregatedColumn="46"/>
        </ext>
      </extLst>
    </cacheHierarchy>
    <cacheHierarchy uniqueName="[Measures].[Sum of Economy]" caption="Sum of Economy" measure="1" displayFolder="" measureGroup="fact_player" count="0">
      <extLst>
        <ext xmlns:x15="http://schemas.microsoft.com/office/spreadsheetml/2010/11/main" uri="{B97F6D7D-B522-45F9-BDA1-12C45D357490}">
          <x15:cacheHierarchy aggregatedColumn="50"/>
        </ext>
      </extLst>
    </cacheHierarchy>
    <cacheHierarchy uniqueName="[Measures].[Count of Win_Type]" caption="Count of Win_Type" measure="1" displayFolder="" measureGroup="fact_match" count="0">
      <extLst>
        <ext xmlns:x15="http://schemas.microsoft.com/office/spreadsheetml/2010/11/main" uri="{B97F6D7D-B522-45F9-BDA1-12C45D357490}">
          <x15:cacheHierarchy aggregatedColumn="35"/>
        </ext>
      </extLst>
    </cacheHierarchy>
    <cacheHierarchy uniqueName="[Measures].[Count of Team_Name]" caption="Count of Team_Name" measure="1" displayFolder="" measureGroup="dim_team" count="0">
      <extLst>
        <ext xmlns:x15="http://schemas.microsoft.com/office/spreadsheetml/2010/11/main" uri="{B97F6D7D-B522-45F9-BDA1-12C45D357490}">
          <x15:cacheHierarchy aggregatedColumn="9"/>
        </ext>
      </extLst>
    </cacheHierarchy>
    <cacheHierarchy uniqueName="[Measures].[Sum of Total_Runs]" caption="Sum of Total_Runs" measure="1" displayFolder="" measureGroup="fact_match" count="0">
      <extLst>
        <ext xmlns:x15="http://schemas.microsoft.com/office/spreadsheetml/2010/11/main" uri="{B97F6D7D-B522-45F9-BDA1-12C45D357490}">
          <x15:cacheHierarchy aggregatedColumn="33"/>
        </ext>
      </extLst>
    </cacheHierarchy>
    <cacheHierarchy uniqueName="[Measures].[Total Matches]" caption="Total Matches" measure="1" displayFolder="" measureGroup="fact_match" count="0"/>
    <cacheHierarchy uniqueName="[Measures].[Total Runs]" caption="Total Runs" measure="1" displayFolder="" measureGroup="fact_match" count="0"/>
    <cacheHierarchy uniqueName="[Measures].[Total Wickets]" caption="Total Wickets" measure="1" displayFolder="" measureGroup="fact_match" count="0"/>
    <cacheHierarchy uniqueName="[Measures].[Player Runs]" caption="Player Runs" measure="1" displayFolder="" measureGroup="fact_player" count="0"/>
    <cacheHierarchy uniqueName="[Measures].[Player_Wickets]" caption="Player_Wickets" measure="1" displayFolder="" measureGroup="fact_player" count="0"/>
    <cacheHierarchy uniqueName="[Measures].[Player avg Strike Rate]" caption="Player avg Strike Rate" measure="1" displayFolder="" measureGroup="fact_player" count="0"/>
    <cacheHierarchy uniqueName="[Measures].[Match Played]" caption="Match Played" measure="1" displayFolder="" measureGroup="fact_match" count="0"/>
    <cacheHierarchy uniqueName="[Measures].[Team Wins]" caption="Team Wins" measure="1" displayFolder="" measureGroup="fact_match" count="0" oneField="1">
      <fieldsUsage count="1">
        <fieldUsage x="1"/>
      </fieldsUsage>
    </cacheHierarchy>
    <cacheHierarchy uniqueName="[Measures].[Win%]" caption="Win%" measure="1" displayFolder="" measureGroup="fact_match" count="0"/>
    <cacheHierarchy uniqueName="[Measures].[Total Teams]" caption="Total Teams" measure="1" displayFolder="" measureGroup="dim_team"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ruv Panchal" refreshedDate="46295.179673032406" backgroundQuery="1" createdVersion="8" refreshedVersion="8" minRefreshableVersion="3" recordCount="0" supportSubquery="1" supportAdvancedDrill="1" xr:uid="{D3BE8B47-4E5B-4CAD-9F9C-E9B0C9521802}">
  <cacheSource type="external" connectionId="6"/>
  <cacheFields count="7">
    <cacheField name="[dim_team].[Team_Name].[Team_Name]" caption="Team_Name" numFmtId="0" hierarchy="9" level="1">
      <sharedItems containsBlank="1" count="9">
        <s v="Chennai Super Kings (CSK)"/>
        <s v="Delhi Capitals (DC)"/>
        <s v="Kolkata Knight Riders (KKR)"/>
        <s v="Mumbai Indians (MI)"/>
        <s v="Punjab Kings (PBKS)"/>
        <s v="Rajasthan Royals (RR)"/>
        <s v="Royal Challengers Bengaluru (RCB)"/>
        <s v="Sunrisers Hyderabad (SRH)"/>
        <m/>
      </sharedItems>
    </cacheField>
    <cacheField name="[Measures].[Count of Match_ID]" caption="Count of Match_ID" numFmtId="0" hierarchy="53" level="32767"/>
    <cacheField name="[Measures].[Total Runs]" caption="Total Runs" numFmtId="0" hierarchy="63" level="32767"/>
    <cacheField name="[Measures].[Total Wickets]" caption="Total Wickets" numFmtId="0" hierarchy="64" level="32767"/>
    <cacheField name="[Measures].[Team Wins]" caption="Team Wins" numFmtId="0" hierarchy="69" level="32767"/>
    <cacheField name="[Measures].[Total Teams]" caption="Total Teams" numFmtId="0" hierarchy="71" level="32767"/>
    <cacheField name="[dim_venue].[Venue_Name].[Venue_Name]" caption="Venue_Name" numFmtId="0" hierarchy="16" level="1">
      <sharedItems containsSemiMixedTypes="0" containsNonDate="0" containsString="0"/>
    </cacheField>
  </cacheFields>
  <cacheHierarchies count="78">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0" memberValueDatatype="130" unbalanced="0"/>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0"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fieldsUsage count="2">
        <fieldUsage x="-1"/>
        <fieldUsage x="0"/>
      </fieldsUsage>
    </cacheHierarchy>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2" memberValueDatatype="130" unbalanced="0">
      <fieldsUsage count="2">
        <fieldUsage x="-1"/>
        <fieldUsage x="6"/>
      </fieldsUsage>
    </cacheHierarchy>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Ground]" caption="Home_Ground" attribute="1" defaultMemberUniqueName="[fact_match].[Home_Ground].[All]" allUniqueName="[fact_match].[Home_Ground].[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Count of Team_ID]" caption="Count of Team_ID" measure="1" displayFolder="" measureGroup="dim_team" count="0">
      <extLst>
        <ext xmlns:x15="http://schemas.microsoft.com/office/spreadsheetml/2010/11/main" uri="{B97F6D7D-B522-45F9-BDA1-12C45D357490}">
          <x15:cacheHierarchy aggregatedColumn="8"/>
        </ext>
      </extLst>
    </cacheHierarchy>
    <cacheHierarchy uniqueName="[Measures].[Count of Team_ID 2]" caption="Count of Team_ID 2" measure="1" displayFolder="" measureGroup="dim_player" count="0">
      <extLst>
        <ext xmlns:x15="http://schemas.microsoft.com/office/spreadsheetml/2010/11/main" uri="{B97F6D7D-B522-45F9-BDA1-12C45D357490}">
          <x15:cacheHierarchy aggregatedColumn="2"/>
        </ext>
      </extLst>
    </cacheHierarchy>
    <cacheHierarchy uniqueName="[Measures].[Count of Match_ID]" caption="Count of Match_ID" measure="1" displayFolder="" measureGroup="fact_match" count="0" oneField="1">
      <fieldsUsage count="1">
        <fieldUsage x="1"/>
      </fieldsUsage>
      <extLst>
        <ext xmlns:x15="http://schemas.microsoft.com/office/spreadsheetml/2010/11/main" uri="{B97F6D7D-B522-45F9-BDA1-12C45D357490}">
          <x15:cacheHierarchy aggregatedColumn="19"/>
        </ext>
      </extLst>
    </cacheHierarchy>
    <cacheHierarchy uniqueName="[Measures].[Sum of Runs]" caption="Sum of Runs" measure="1" displayFolder="" measureGroup="fact_player" count="0">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extLst>
        <ext xmlns:x15="http://schemas.microsoft.com/office/spreadsheetml/2010/11/main" uri="{B97F6D7D-B522-45F9-BDA1-12C45D357490}">
          <x15:cacheHierarchy aggregatedColumn="43"/>
        </ext>
      </extLst>
    </cacheHierarchy>
    <cacheHierarchy uniqueName="[Measures].[Sum of Runs_Conceded]" caption="Sum of Runs_Conceded" measure="1" displayFolder="" measureGroup="fact_player" count="0">
      <extLst>
        <ext xmlns:x15="http://schemas.microsoft.com/office/spreadsheetml/2010/11/main" uri="{B97F6D7D-B522-45F9-BDA1-12C45D357490}">
          <x15:cacheHierarchy aggregatedColumn="48"/>
        </ext>
      </extLst>
    </cacheHierarchy>
    <cacheHierarchy uniqueName="[Measures].[Sum of Strike_Rate]" caption="Sum of Strike_Rate" measure="1" displayFolder="" measureGroup="fact_player" count="0">
      <extLst>
        <ext xmlns:x15="http://schemas.microsoft.com/office/spreadsheetml/2010/11/main" uri="{B97F6D7D-B522-45F9-BDA1-12C45D357490}">
          <x15:cacheHierarchy aggregatedColumn="46"/>
        </ext>
      </extLst>
    </cacheHierarchy>
    <cacheHierarchy uniqueName="[Measures].[Sum of Economy]" caption="Sum of Economy" measure="1" displayFolder="" measureGroup="fact_player" count="0">
      <extLst>
        <ext xmlns:x15="http://schemas.microsoft.com/office/spreadsheetml/2010/11/main" uri="{B97F6D7D-B522-45F9-BDA1-12C45D357490}">
          <x15:cacheHierarchy aggregatedColumn="50"/>
        </ext>
      </extLst>
    </cacheHierarchy>
    <cacheHierarchy uniqueName="[Measures].[Count of Win_Type]" caption="Count of Win_Type" measure="1" displayFolder="" measureGroup="fact_match" count="0">
      <extLst>
        <ext xmlns:x15="http://schemas.microsoft.com/office/spreadsheetml/2010/11/main" uri="{B97F6D7D-B522-45F9-BDA1-12C45D357490}">
          <x15:cacheHierarchy aggregatedColumn="35"/>
        </ext>
      </extLst>
    </cacheHierarchy>
    <cacheHierarchy uniqueName="[Measures].[Count of Team_Name]" caption="Count of Team_Name" measure="1" displayFolder="" measureGroup="dim_team" count="0">
      <extLst>
        <ext xmlns:x15="http://schemas.microsoft.com/office/spreadsheetml/2010/11/main" uri="{B97F6D7D-B522-45F9-BDA1-12C45D357490}">
          <x15:cacheHierarchy aggregatedColumn="9"/>
        </ext>
      </extLst>
    </cacheHierarchy>
    <cacheHierarchy uniqueName="[Measures].[Sum of Total_Runs]" caption="Sum of Total_Runs" measure="1" displayFolder="" measureGroup="fact_match" count="0">
      <extLst>
        <ext xmlns:x15="http://schemas.microsoft.com/office/spreadsheetml/2010/11/main" uri="{B97F6D7D-B522-45F9-BDA1-12C45D357490}">
          <x15:cacheHierarchy aggregatedColumn="33"/>
        </ext>
      </extLst>
    </cacheHierarchy>
    <cacheHierarchy uniqueName="[Measures].[Total Matches]" caption="Total Matches" measure="1" displayFolder="" measureGroup="fact_match" count="0"/>
    <cacheHierarchy uniqueName="[Measures].[Total Runs]" caption="Total Runs" measure="1" displayFolder="" measureGroup="fact_match" count="0" oneField="1">
      <fieldsUsage count="1">
        <fieldUsage x="2"/>
      </fieldsUsage>
    </cacheHierarchy>
    <cacheHierarchy uniqueName="[Measures].[Total Wickets]" caption="Total Wickets" measure="1" displayFolder="" measureGroup="fact_match" count="0" oneField="1">
      <fieldsUsage count="1">
        <fieldUsage x="3"/>
      </fieldsUsage>
    </cacheHierarchy>
    <cacheHierarchy uniqueName="[Measures].[Player Runs]" caption="Player Runs" measure="1" displayFolder="" measureGroup="fact_player" count="0"/>
    <cacheHierarchy uniqueName="[Measures].[Player_Wickets]" caption="Player_Wickets" measure="1" displayFolder="" measureGroup="fact_player" count="0"/>
    <cacheHierarchy uniqueName="[Measures].[Player avg Strike Rate]" caption="Player avg Strike Rate" measure="1" displayFolder="" measureGroup="fact_player" count="0"/>
    <cacheHierarchy uniqueName="[Measures].[Match Played]" caption="Match Played" measure="1" displayFolder="" measureGroup="fact_match" count="0"/>
    <cacheHierarchy uniqueName="[Measures].[Team Wins]" caption="Team Wins" measure="1" displayFolder="" measureGroup="fact_match" count="0" oneField="1">
      <fieldsUsage count="1">
        <fieldUsage x="4"/>
      </fieldsUsage>
    </cacheHierarchy>
    <cacheHierarchy uniqueName="[Measures].[Win%]" caption="Win%" measure="1" displayFolder="" measureGroup="fact_match" count="0"/>
    <cacheHierarchy uniqueName="[Measures].[Total Teams]" caption="Total Teams" measure="1" displayFolder="" measureGroup="dim_team" count="0" oneField="1">
      <fieldsUsage count="1">
        <fieldUsage x="5"/>
      </fieldsUsage>
    </cacheHierarchy>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ruv Panchal" refreshedDate="46295.167895486113" backgroundQuery="1" createdVersion="3" refreshedVersion="8" minRefreshableVersion="3" recordCount="0" supportSubquery="1" supportAdvancedDrill="1" xr:uid="{BCC26414-F210-4CF0-986B-C396B0C65F85}">
  <cacheSource type="external" connectionId="6">
    <extLst>
      <ext xmlns:x14="http://schemas.microsoft.com/office/spreadsheetml/2009/9/main" uri="{F057638F-6D5F-4e77-A914-E7F072B9BCA8}">
        <x14:sourceConnection name="ThisWorkbookDataModel"/>
      </ext>
    </extLst>
  </cacheSource>
  <cacheFields count="0"/>
  <cacheHierarchies count="78">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0" memberValueDatatype="130" unbalanced="0"/>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0"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2"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Ground]" caption="Home_Ground" attribute="1" defaultMemberUniqueName="[fact_match].[Home_Ground].[All]" allUniqueName="[fact_match].[Home_Ground].[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Count of Team_ID]" caption="Count of Team_ID" measure="1" displayFolder="" measureGroup="dim_team" count="0">
      <extLst>
        <ext xmlns:x15="http://schemas.microsoft.com/office/spreadsheetml/2010/11/main" uri="{B97F6D7D-B522-45F9-BDA1-12C45D357490}">
          <x15:cacheHierarchy aggregatedColumn="8"/>
        </ext>
      </extLst>
    </cacheHierarchy>
    <cacheHierarchy uniqueName="[Measures].[Count of Team_ID 2]" caption="Count of Team_ID 2" measure="1" displayFolder="" measureGroup="dim_player" count="0">
      <extLst>
        <ext xmlns:x15="http://schemas.microsoft.com/office/spreadsheetml/2010/11/main" uri="{B97F6D7D-B522-45F9-BDA1-12C45D357490}">
          <x15:cacheHierarchy aggregatedColumn="2"/>
        </ext>
      </extLst>
    </cacheHierarchy>
    <cacheHierarchy uniqueName="[Measures].[Count of Match_ID]" caption="Count of Match_ID" measure="1" displayFolder="" measureGroup="fact_match" count="0">
      <extLst>
        <ext xmlns:x15="http://schemas.microsoft.com/office/spreadsheetml/2010/11/main" uri="{B97F6D7D-B522-45F9-BDA1-12C45D357490}">
          <x15:cacheHierarchy aggregatedColumn="19"/>
        </ext>
      </extLst>
    </cacheHierarchy>
    <cacheHierarchy uniqueName="[Measures].[Sum of Runs]" caption="Sum of Runs" measure="1" displayFolder="" measureGroup="fact_player" count="0">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extLst>
        <ext xmlns:x15="http://schemas.microsoft.com/office/spreadsheetml/2010/11/main" uri="{B97F6D7D-B522-45F9-BDA1-12C45D357490}">
          <x15:cacheHierarchy aggregatedColumn="43"/>
        </ext>
      </extLst>
    </cacheHierarchy>
    <cacheHierarchy uniqueName="[Measures].[Sum of Runs_Conceded]" caption="Sum of Runs_Conceded" measure="1" displayFolder="" measureGroup="fact_player" count="0">
      <extLst>
        <ext xmlns:x15="http://schemas.microsoft.com/office/spreadsheetml/2010/11/main" uri="{B97F6D7D-B522-45F9-BDA1-12C45D357490}">
          <x15:cacheHierarchy aggregatedColumn="48"/>
        </ext>
      </extLst>
    </cacheHierarchy>
    <cacheHierarchy uniqueName="[Measures].[Sum of Strike_Rate]" caption="Sum of Strike_Rate" measure="1" displayFolder="" measureGroup="fact_player" count="0">
      <extLst>
        <ext xmlns:x15="http://schemas.microsoft.com/office/spreadsheetml/2010/11/main" uri="{B97F6D7D-B522-45F9-BDA1-12C45D357490}">
          <x15:cacheHierarchy aggregatedColumn="46"/>
        </ext>
      </extLst>
    </cacheHierarchy>
    <cacheHierarchy uniqueName="[Measures].[Sum of Economy]" caption="Sum of Economy" measure="1" displayFolder="" measureGroup="fact_player" count="0">
      <extLst>
        <ext xmlns:x15="http://schemas.microsoft.com/office/spreadsheetml/2010/11/main" uri="{B97F6D7D-B522-45F9-BDA1-12C45D357490}">
          <x15:cacheHierarchy aggregatedColumn="50"/>
        </ext>
      </extLst>
    </cacheHierarchy>
    <cacheHierarchy uniqueName="[Measures].[Count of Win_Type]" caption="Count of Win_Type" measure="1" displayFolder="" measureGroup="fact_match" count="0">
      <extLst>
        <ext xmlns:x15="http://schemas.microsoft.com/office/spreadsheetml/2010/11/main" uri="{B97F6D7D-B522-45F9-BDA1-12C45D357490}">
          <x15:cacheHierarchy aggregatedColumn="35"/>
        </ext>
      </extLst>
    </cacheHierarchy>
    <cacheHierarchy uniqueName="[Measures].[Count of Team_Name]" caption="Count of Team_Name" measure="1" displayFolder="" measureGroup="dim_team" count="0">
      <extLst>
        <ext xmlns:x15="http://schemas.microsoft.com/office/spreadsheetml/2010/11/main" uri="{B97F6D7D-B522-45F9-BDA1-12C45D357490}">
          <x15:cacheHierarchy aggregatedColumn="9"/>
        </ext>
      </extLst>
    </cacheHierarchy>
    <cacheHierarchy uniqueName="[Measures].[Sum of Total_Runs]" caption="Sum of Total_Runs" measure="1" displayFolder="" measureGroup="fact_match" count="0">
      <extLst>
        <ext xmlns:x15="http://schemas.microsoft.com/office/spreadsheetml/2010/11/main" uri="{B97F6D7D-B522-45F9-BDA1-12C45D357490}">
          <x15:cacheHierarchy aggregatedColumn="33"/>
        </ext>
      </extLst>
    </cacheHierarchy>
    <cacheHierarchy uniqueName="[Measures].[Total Matches]" caption="Total Matches" measure="1" displayFolder="" measureGroup="fact_match" count="0"/>
    <cacheHierarchy uniqueName="[Measures].[Total Runs]" caption="Total Runs" measure="1" displayFolder="" measureGroup="fact_match" count="0"/>
    <cacheHierarchy uniqueName="[Measures].[Total Wickets]" caption="Total Wickets" measure="1" displayFolder="" measureGroup="fact_match" count="0"/>
    <cacheHierarchy uniqueName="[Measures].[Player Runs]" caption="Player Runs" measure="1" displayFolder="" measureGroup="fact_player" count="0"/>
    <cacheHierarchy uniqueName="[Measures].[Player_Wickets]" caption="Player_Wickets" measure="1" displayFolder="" measureGroup="fact_player" count="0"/>
    <cacheHierarchy uniqueName="[Measures].[Player avg Strike Rate]" caption="Player avg Strike Rate" measure="1" displayFolder="" measureGroup="fact_player" count="0"/>
    <cacheHierarchy uniqueName="[Measures].[Match Played]" caption="Match Played" measure="1" displayFolder="" measureGroup="fact_match" count="0"/>
    <cacheHierarchy uniqueName="[Measures].[Team Wins]" caption="Team Wins" measure="1" displayFolder="" measureGroup="fact_match" count="0"/>
    <cacheHierarchy uniqueName="[Measures].[Win%]" caption="Win%" measure="1" displayFolder="" measureGroup="fact_match" count="0"/>
    <cacheHierarchy uniqueName="[Measures].[Total Teams]" caption="Total Teams" measure="1" displayFolder="" measureGroup="dim_team"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113824010"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AAAC1EF-A8FB-4075-AF06-408DC1128EA2}" name="PivotTable1" cacheId="176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Player|Team | Role Name">
  <location ref="A3:G187" firstHeaderRow="0" firstDataRow="1" firstDataCol="1"/>
  <pivotFields count="10">
    <pivotField axis="axisRow" allDrilled="1" subtotalTop="0" showAll="0" dataSourceSort="1" defaultSubtotal="0" defaultAttributeDrillState="1">
      <items count="33">
        <item x="0"/>
        <item n=" " x="1" e="0"/>
        <item x="2"/>
        <item x="3"/>
        <item x="4"/>
        <item x="5"/>
        <item x="6"/>
        <item x="7"/>
        <item x="8"/>
        <item x="9"/>
        <item x="10"/>
        <item x="11"/>
        <item x="12"/>
        <item x="13"/>
        <item x="14"/>
        <item x="15"/>
        <item x="16"/>
        <item x="17"/>
        <item x="18"/>
        <item x="19"/>
        <item x="20"/>
        <item x="21"/>
        <item x="22"/>
        <item x="23"/>
        <item x="24"/>
        <item x="25"/>
        <item x="26"/>
        <item x="27"/>
        <item x="28"/>
        <item x="29"/>
        <item x="30"/>
        <item x="31"/>
        <item x="32"/>
      </items>
    </pivotField>
    <pivotField axis="axisRow" allDrilled="1" subtotalTop="0" showAll="0" dataSourceSort="1" defaultSubtotal="0" defaultAttributeDrillState="1">
      <items count="4">
        <item x="0"/>
        <item x="1"/>
        <item x="2"/>
        <item x="3"/>
      </items>
    </pivotField>
    <pivotField axis="axisRow" allDrilled="1" subtotalTop="0" showAll="0" dataSourceSort="1" defaultSubtotal="0" defaultAttributeDrillState="1">
      <items count="9">
        <item x="0"/>
        <item x="1"/>
        <item x="2"/>
        <item x="3"/>
        <item x="4"/>
        <item x="5"/>
        <item x="6"/>
        <item x="7"/>
        <item x="8"/>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3">
    <field x="0"/>
    <field x="1"/>
    <field x="2"/>
  </rowFields>
  <rowItems count="184">
    <i>
      <x/>
    </i>
    <i r="1">
      <x/>
    </i>
    <i r="2">
      <x/>
    </i>
    <i r="2">
      <x v="1"/>
    </i>
    <i r="2">
      <x v="2"/>
    </i>
    <i>
      <x v="1"/>
    </i>
    <i>
      <x v="2"/>
    </i>
    <i r="1">
      <x v="1"/>
    </i>
    <i r="2">
      <x v="3"/>
    </i>
    <i r="2">
      <x/>
    </i>
    <i r="2">
      <x v="4"/>
    </i>
    <i r="2">
      <x v="5"/>
    </i>
    <i r="2">
      <x v="6"/>
    </i>
    <i r="2">
      <x v="2"/>
    </i>
    <i>
      <x v="3"/>
    </i>
    <i r="1">
      <x v="2"/>
    </i>
    <i r="2">
      <x v="3"/>
    </i>
    <i r="2">
      <x v="6"/>
    </i>
    <i r="2">
      <x v="2"/>
    </i>
    <i>
      <x v="4"/>
    </i>
    <i r="1">
      <x v="1"/>
    </i>
    <i r="2">
      <x v="7"/>
    </i>
    <i r="2">
      <x v="1"/>
    </i>
    <i r="2">
      <x v="2"/>
    </i>
    <i>
      <x v="5"/>
    </i>
    <i r="1">
      <x v="2"/>
    </i>
    <i r="2">
      <x v="8"/>
    </i>
    <i r="2">
      <x v="3"/>
    </i>
    <i r="2">
      <x v="4"/>
    </i>
    <i r="2">
      <x v="1"/>
    </i>
    <i r="2">
      <x v="2"/>
    </i>
    <i>
      <x v="6"/>
    </i>
    <i r="1">
      <x/>
    </i>
    <i r="2">
      <x v="3"/>
    </i>
    <i r="2">
      <x/>
    </i>
    <i r="2">
      <x v="4"/>
    </i>
    <i r="2">
      <x v="1"/>
    </i>
    <i>
      <x v="7"/>
    </i>
    <i r="1">
      <x v="1"/>
    </i>
    <i r="2">
      <x v="8"/>
    </i>
    <i r="2">
      <x v="4"/>
    </i>
    <i r="2">
      <x v="2"/>
    </i>
    <i>
      <x v="8"/>
    </i>
    <i r="1">
      <x v="3"/>
    </i>
    <i r="2">
      <x v="7"/>
    </i>
    <i>
      <x v="9"/>
    </i>
    <i r="1">
      <x v="2"/>
    </i>
    <i r="2">
      <x v="8"/>
    </i>
    <i r="2">
      <x v="6"/>
    </i>
    <i r="2">
      <x v="7"/>
    </i>
    <i r="2">
      <x v="2"/>
    </i>
    <i>
      <x v="10"/>
    </i>
    <i r="1">
      <x v="2"/>
    </i>
    <i r="2">
      <x v="4"/>
    </i>
    <i r="2">
      <x v="5"/>
    </i>
    <i r="2">
      <x v="2"/>
    </i>
    <i>
      <x v="11"/>
    </i>
    <i r="1">
      <x v="3"/>
    </i>
    <i r="2">
      <x/>
    </i>
    <i r="2">
      <x v="4"/>
    </i>
    <i r="2">
      <x v="1"/>
    </i>
    <i r="2">
      <x v="2"/>
    </i>
    <i>
      <x v="12"/>
    </i>
    <i r="1">
      <x v="3"/>
    </i>
    <i r="2">
      <x v="3"/>
    </i>
    <i r="2">
      <x v="4"/>
    </i>
    <i r="2">
      <x v="6"/>
    </i>
    <i r="2">
      <x v="2"/>
    </i>
    <i>
      <x v="13"/>
    </i>
    <i r="1">
      <x v="1"/>
    </i>
    <i r="2">
      <x v="8"/>
    </i>
    <i r="2">
      <x v="4"/>
    </i>
    <i r="2">
      <x v="6"/>
    </i>
    <i r="2">
      <x v="7"/>
    </i>
    <i r="2">
      <x v="1"/>
    </i>
    <i r="2">
      <x v="2"/>
    </i>
    <i>
      <x v="14"/>
    </i>
    <i r="1">
      <x v="3"/>
    </i>
    <i r="2">
      <x v="5"/>
    </i>
    <i r="2">
      <x v="1"/>
    </i>
    <i>
      <x v="15"/>
    </i>
    <i r="1">
      <x v="3"/>
    </i>
    <i r="2">
      <x v="8"/>
    </i>
    <i r="2">
      <x v="6"/>
    </i>
    <i r="2">
      <x v="7"/>
    </i>
    <i r="2">
      <x v="2"/>
    </i>
    <i>
      <x v="16"/>
    </i>
    <i r="1">
      <x v="1"/>
    </i>
    <i r="2">
      <x v="5"/>
    </i>
    <i r="2">
      <x v="2"/>
    </i>
    <i>
      <x v="17"/>
    </i>
    <i r="1">
      <x v="1"/>
    </i>
    <i r="2">
      <x v="3"/>
    </i>
    <i r="2">
      <x v="5"/>
    </i>
    <i r="2">
      <x v="6"/>
    </i>
    <i r="2">
      <x v="2"/>
    </i>
    <i>
      <x v="18"/>
    </i>
    <i r="1">
      <x v="2"/>
    </i>
    <i r="2">
      <x v="8"/>
    </i>
    <i r="2">
      <x v="5"/>
    </i>
    <i r="2">
      <x v="7"/>
    </i>
    <i r="2">
      <x v="2"/>
    </i>
    <i>
      <x v="19"/>
    </i>
    <i r="1">
      <x v="1"/>
    </i>
    <i r="2">
      <x/>
    </i>
    <i>
      <x v="20"/>
    </i>
    <i r="1">
      <x v="2"/>
    </i>
    <i r="2">
      <x v="8"/>
    </i>
    <i r="2">
      <x v="5"/>
    </i>
    <i r="2">
      <x v="7"/>
    </i>
    <i r="2">
      <x v="2"/>
    </i>
    <i>
      <x v="21"/>
    </i>
    <i r="1">
      <x v="1"/>
    </i>
    <i r="2">
      <x v="4"/>
    </i>
    <i r="2">
      <x v="7"/>
    </i>
    <i r="2">
      <x v="1"/>
    </i>
    <i r="2">
      <x v="2"/>
    </i>
    <i>
      <x v="22"/>
    </i>
    <i r="1">
      <x/>
    </i>
    <i r="2">
      <x v="8"/>
    </i>
    <i r="2">
      <x/>
    </i>
    <i r="2">
      <x v="4"/>
    </i>
    <i r="2">
      <x v="2"/>
    </i>
    <i>
      <x v="23"/>
    </i>
    <i r="1">
      <x v="2"/>
    </i>
    <i r="2">
      <x v="8"/>
    </i>
    <i r="2">
      <x v="5"/>
    </i>
    <i r="2">
      <x v="2"/>
    </i>
    <i>
      <x v="24"/>
    </i>
    <i r="1">
      <x v="2"/>
    </i>
    <i r="2">
      <x v="3"/>
    </i>
    <i r="2">
      <x/>
    </i>
    <i r="2">
      <x v="6"/>
    </i>
    <i r="2">
      <x v="7"/>
    </i>
    <i r="2">
      <x v="2"/>
    </i>
    <i>
      <x v="25"/>
    </i>
    <i r="1">
      <x/>
    </i>
    <i r="2">
      <x v="3"/>
    </i>
    <i r="2">
      <x v="4"/>
    </i>
    <i r="2">
      <x v="7"/>
    </i>
    <i r="2">
      <x v="2"/>
    </i>
    <i>
      <x v="26"/>
    </i>
    <i r="1">
      <x v="2"/>
    </i>
    <i r="2">
      <x v="4"/>
    </i>
    <i r="2">
      <x v="2"/>
    </i>
    <i>
      <x v="27"/>
    </i>
    <i r="1">
      <x/>
    </i>
    <i r="2">
      <x v="5"/>
    </i>
    <i r="2">
      <x v="6"/>
    </i>
    <i r="2">
      <x v="1"/>
    </i>
    <i r="2">
      <x v="2"/>
    </i>
    <i>
      <x v="28"/>
    </i>
    <i r="1">
      <x v="1"/>
    </i>
    <i r="2">
      <x v="6"/>
    </i>
    <i r="2">
      <x v="1"/>
    </i>
    <i r="2">
      <x v="2"/>
    </i>
    <i>
      <x v="29"/>
    </i>
    <i r="1">
      <x v="1"/>
    </i>
    <i r="2">
      <x/>
    </i>
    <i r="2">
      <x v="1"/>
    </i>
    <i r="2">
      <x v="2"/>
    </i>
    <i>
      <x v="30"/>
    </i>
    <i r="1">
      <x/>
    </i>
    <i r="2">
      <x v="8"/>
    </i>
    <i r="2">
      <x v="3"/>
    </i>
    <i r="2">
      <x/>
    </i>
    <i r="2">
      <x v="7"/>
    </i>
    <i r="2">
      <x v="1"/>
    </i>
    <i r="2">
      <x v="2"/>
    </i>
    <i>
      <x v="31"/>
    </i>
    <i r="1">
      <x/>
    </i>
    <i r="2">
      <x v="3"/>
    </i>
    <i r="2">
      <x v="5"/>
    </i>
    <i r="2">
      <x v="6"/>
    </i>
    <i r="2">
      <x v="7"/>
    </i>
    <i r="2">
      <x v="2"/>
    </i>
    <i>
      <x v="32"/>
    </i>
    <i r="1">
      <x v="1"/>
    </i>
    <i r="2">
      <x v="3"/>
    </i>
    <i r="2">
      <x/>
    </i>
    <i r="2">
      <x v="4"/>
    </i>
    <i r="2">
      <x v="6"/>
    </i>
    <i r="2">
      <x v="2"/>
    </i>
    <i t="grand">
      <x/>
    </i>
  </rowItems>
  <colFields count="1">
    <field x="-2"/>
  </colFields>
  <colItems count="6">
    <i>
      <x/>
    </i>
    <i i="1">
      <x v="1"/>
    </i>
    <i i="2">
      <x v="2"/>
    </i>
    <i i="3">
      <x v="3"/>
    </i>
    <i i="4">
      <x v="4"/>
    </i>
    <i i="5">
      <x v="5"/>
    </i>
  </colItems>
  <dataFields count="6">
    <dataField name="Total Runs" fld="3" baseField="0" baseItem="0"/>
    <dataField name="Ball Faced" fld="4" baseField="0" baseItem="0"/>
    <dataField fld="5" subtotal="count" baseField="0" baseItem="0"/>
    <dataField name="Runs Conceded" fld="6" baseField="0" baseItem="0"/>
    <dataField name="Strike Rate" fld="7" baseField="0" baseItem="0"/>
    <dataField name="Economy" fld="8" baseField="0" baseItem="0"/>
  </dataFields>
  <pivotHierarchies count="78">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3">
    <rowHierarchyUsage hierarchyUsage="1"/>
    <rowHierarchyUsage hierarchyUsage="3"/>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player]"/>
        <x15:activeTabTopLevelEntity name="[dim_player]"/>
        <x15:activeTabTopLevelEntity name="[dim_tea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53367A-B985-4194-8DC0-14B9BAF4EFFA}" name="PivotTable4" cacheId="1777" applyNumberFormats="0" applyBorderFormats="0" applyFontFormats="0" applyPatternFormats="0" applyAlignmentFormats="0" applyWidthHeightFormats="1" dataCaption="Values" tag="8d041789-82dc-45de-a6d5-20d71161d9ee" updatedVersion="8" minRefreshableVersion="3" useAutoFormatting="1" subtotalHiddenItems="1" itemPrintTitles="1" createdVersion="8" indent="0" outline="1" outlineData="1" multipleFieldFilters="0" rowHeaderCaption="Teams">
  <location ref="A3:F13" firstHeaderRow="0" firstDataRow="1" firstDataCol="1"/>
  <pivotFields count="7">
    <pivotField axis="axisRow" allDrilled="1" subtotalTop="0" showAll="0" dataSourceSort="1" defaultSubtotal="0" defaultAttributeDrillState="1">
      <items count="9">
        <item x="0"/>
        <item x="1"/>
        <item x="2"/>
        <item x="3"/>
        <item x="4"/>
        <item x="5"/>
        <item x="6"/>
        <item x="7"/>
        <item x="8"/>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0">
    <i>
      <x/>
    </i>
    <i>
      <x v="1"/>
    </i>
    <i>
      <x v="2"/>
    </i>
    <i>
      <x v="3"/>
    </i>
    <i>
      <x v="4"/>
    </i>
    <i>
      <x v="5"/>
    </i>
    <i>
      <x v="6"/>
    </i>
    <i>
      <x v="7"/>
    </i>
    <i>
      <x v="8"/>
    </i>
    <i t="grand">
      <x/>
    </i>
  </rowItems>
  <colFields count="1">
    <field x="-2"/>
  </colFields>
  <colItems count="5">
    <i>
      <x/>
    </i>
    <i i="1">
      <x v="1"/>
    </i>
    <i i="2">
      <x v="2"/>
    </i>
    <i i="3">
      <x v="3"/>
    </i>
    <i i="4">
      <x v="4"/>
    </i>
  </colItems>
  <dataFields count="5">
    <dataField name="Total Matches " fld="1" subtotal="count" baseField="0" baseItem="0"/>
    <dataField fld="2" subtotal="count" baseField="0" baseItem="0"/>
    <dataField fld="3" subtotal="count" baseField="0" baseItem="0"/>
    <dataField fld="5" subtotal="count" baseField="0" baseItem="0"/>
    <dataField fld="4" subtotal="count" baseField="0" baseItem="0"/>
  </dataFields>
  <pivotHierarchies count="78">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fact_match]"/>
        <x15:activeTabTopLevelEntity name="[dim_team]"/>
        <x15:activeTabTopLevelEntity name="[dim_player]"/>
        <x15:activeTabTopLevelEntity name="[dim_venu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872C7C8-01CA-4E95-819E-B5FBA041619E}" name="PivotTable15" cacheId="1774" applyNumberFormats="0" applyBorderFormats="0" applyFontFormats="0" applyPatternFormats="0" applyAlignmentFormats="0" applyWidthHeightFormats="1" dataCaption="Values" tag="90b56161-db23-496b-b736-7ead1b6b86ec" updatedVersion="8" minRefreshableVersion="3" subtotalHiddenItems="1" itemPrintTitles="1" createdVersion="8" indent="0" outline="1" outlineData="1" multipleFieldFilters="0" chartFormat="10" rowHeaderCaption="Teams">
  <location ref="A15:B25" firstHeaderRow="1" firstDataRow="1" firstDataCol="1"/>
  <pivotFields count="3">
    <pivotField axis="axisRow" allDrilled="1" subtotalTop="0" showAll="0" dataSourceSort="1" defaultSubtotal="0" defaultAttributeDrillState="1">
      <items count="9">
        <item x="0"/>
        <item x="1"/>
        <item x="2"/>
        <item x="3"/>
        <item x="4"/>
        <item x="5"/>
        <item x="6"/>
        <item x="7"/>
        <item x="8"/>
      </items>
    </pivotField>
    <pivotField dataField="1" subtotalTop="0" showAll="0" defaultSubtotal="0"/>
    <pivotField allDrilled="1" subtotalTop="0" showAll="0" dataSourceSort="1" defaultSubtotal="0" defaultAttributeDrillState="1"/>
  </pivotFields>
  <rowFields count="1">
    <field x="0"/>
  </rowFields>
  <rowItems count="10">
    <i>
      <x/>
    </i>
    <i>
      <x v="1"/>
    </i>
    <i>
      <x v="2"/>
    </i>
    <i>
      <x v="3"/>
    </i>
    <i>
      <x v="4"/>
    </i>
    <i>
      <x v="5"/>
    </i>
    <i>
      <x v="6"/>
    </i>
    <i>
      <x v="7"/>
    </i>
    <i>
      <x v="8"/>
    </i>
    <i t="grand">
      <x/>
    </i>
  </rowItems>
  <colItems count="1">
    <i/>
  </colItems>
  <dataFields count="1">
    <dataField fld="1" subtotal="count" baseField="0" baseItem="0"/>
  </dataFields>
  <chartFormats count="2">
    <chartFormat chart="7" format="3"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s>
  <pivotHierarchies count="78">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team]"/>
        <x15:activeTabTopLevelEntity name="[fact_match]"/>
        <x15:activeTabTopLevelEntity name="[dim_venu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2EB0DA4-371C-4098-98CC-C2A3DBD82ECC}" name="PivotTable14" cacheId="1771" applyNumberFormats="0" applyBorderFormats="0" applyFontFormats="0" applyPatternFormats="0" applyAlignmentFormats="0" applyWidthHeightFormats="1" dataCaption="Values" tag="6f7b02ae-ea8d-4451-a119-149a7f10a3ad" updatedVersion="8" minRefreshableVersion="3" subtotalHiddenItems="1" itemPrintTitles="1" createdVersion="8" indent="0" outline="1" outlineData="1" multipleFieldFilters="0" chartFormat="8" rowHeaderCaption="Team">
  <location ref="A28:B37" firstHeaderRow="1" firstDataRow="1" firstDataCol="1"/>
  <pivotFields count="3">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 allDrilled="1" subtotalTop="0" showAll="0" dataSourceSort="1" defaultSubtotal="0" defaultAttributeDrillState="1"/>
  </pivotFields>
  <rowFields count="1">
    <field x="0"/>
  </rowFields>
  <rowItems count="9">
    <i>
      <x/>
    </i>
    <i>
      <x v="1"/>
    </i>
    <i>
      <x v="2"/>
    </i>
    <i>
      <x v="3"/>
    </i>
    <i>
      <x v="4"/>
    </i>
    <i>
      <x v="5"/>
    </i>
    <i>
      <x v="6"/>
    </i>
    <i>
      <x v="7"/>
    </i>
    <i t="grand">
      <x/>
    </i>
  </rowItems>
  <colItems count="1">
    <i/>
  </colItems>
  <dataFields count="1">
    <dataField fld="1" subtotal="count" baseField="0" baseItem="0"/>
  </dataFields>
  <chartFormats count="2">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Hierarchies count="78">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team]"/>
        <x15:activeTabTopLevelEntity name="[fact_match]"/>
        <x15:activeTabTopLevelEntity name="[dim_venu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E101ED-CB41-478D-9C41-FADDFCB2EEE4}" name="PivotTable13" cacheId="1762" applyNumberFormats="0" applyBorderFormats="0" applyFontFormats="0" applyPatternFormats="0" applyAlignmentFormats="0" applyWidthHeightFormats="1" dataCaption="Values" tag="9a2a5b5a-8e86-46aa-b017-cb0a1cafa8d1" updatedVersion="8" minRefreshableVersion="3" useAutoFormatting="1" subtotalHiddenItems="1" itemPrintTitles="1" createdVersion="8" indent="0" outline="1" outlineData="1" multipleFieldFilters="0" chartFormat="29" rowHeaderCaption="Venue Name">
  <location ref="A44:B56" firstHeaderRow="1" firstDataRow="1" firstDataCol="1"/>
  <pivotFields count="2">
    <pivotField axis="axisRow" allDrilled="1" subtotalTop="0" showAll="0" dataSourceSort="1" defaultSubtotal="0" defaultAttributeDrillState="1">
      <items count="11">
        <item x="0"/>
        <item x="1"/>
        <item x="2"/>
        <item x="3"/>
        <item x="4"/>
        <item x="5"/>
        <item x="6"/>
        <item x="7"/>
        <item x="8"/>
        <item x="9"/>
        <item x="10"/>
      </items>
    </pivotField>
    <pivotField dataField="1" subtotalTop="0" showAll="0" defaultSubtotal="0"/>
  </pivotFields>
  <rowFields count="1">
    <field x="0"/>
  </rowFields>
  <rowItems count="12">
    <i>
      <x/>
    </i>
    <i>
      <x v="1"/>
    </i>
    <i>
      <x v="2"/>
    </i>
    <i>
      <x v="3"/>
    </i>
    <i>
      <x v="4"/>
    </i>
    <i>
      <x v="5"/>
    </i>
    <i>
      <x v="6"/>
    </i>
    <i>
      <x v="7"/>
    </i>
    <i>
      <x v="8"/>
    </i>
    <i>
      <x v="9"/>
    </i>
    <i>
      <x v="10"/>
    </i>
    <i t="grand">
      <x/>
    </i>
  </rowItems>
  <colItems count="1">
    <i/>
  </colItems>
  <dataFields count="1">
    <dataField name="Count of Team_ID" fld="1" subtotal="count" baseField="0" baseItem="0"/>
  </dataFields>
  <chartFormats count="2">
    <chartFormat chart="9" format="0" series="1">
      <pivotArea type="data" outline="0" fieldPosition="0">
        <references count="1">
          <reference field="4294967294" count="1" selected="0">
            <x v="0"/>
          </reference>
        </references>
      </pivotArea>
    </chartFormat>
    <chartFormat chart="27" format="2" series="1">
      <pivotArea type="data" outline="0" fieldPosition="0">
        <references count="1">
          <reference field="4294967294" count="1" selected="0">
            <x v="0"/>
          </reference>
        </references>
      </pivotArea>
    </chartFormat>
  </chartFormats>
  <pivotHierarchies count="78">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team]"/>
        <x15:activeTabTopLevelEntity name="[dim_venu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106477F-5745-49BF-9899-4D299E5D2581}" name="PivotTable12" cacheId="1768" applyNumberFormats="0" applyBorderFormats="0" applyFontFormats="0" applyPatternFormats="0" applyAlignmentFormats="0" applyWidthHeightFormats="1" dataCaption="Values" tag="124635cd-e3c3-4236-a7d0-a2768c01ea7c" updatedVersion="8" minRefreshableVersion="3" useAutoFormatting="1" subtotalHiddenItems="1" itemPrintTitles="1" createdVersion="8" indent="0" outline="1" outlineData="1" multipleFieldFilters="0" chartFormat="18" rowHeaderCaption=" Team">
  <location ref="K3:L6" firstHeaderRow="1" firstDataRow="1" firstDataCol="1"/>
  <pivotFields count="3">
    <pivotField axis="axisRow" allDrilled="1" subtotalTop="0" showAll="0" dataSourceSort="1" defaultSubtotal="0" defaultAttributeDrillState="1">
      <items count="2">
        <item s="1" x="0"/>
        <item s="1" x="1"/>
      </items>
    </pivotField>
    <pivotField dataField="1" subtotalTop="0" showAll="0" defaultSubtotal="0"/>
    <pivotField allDrilled="1" subtotalTop="0" showAll="0" dataSourceSort="1" defaultSubtotal="0" defaultAttributeDrillState="1"/>
  </pivotFields>
  <rowFields count="1">
    <field x="0"/>
  </rowFields>
  <rowItems count="3">
    <i>
      <x/>
    </i>
    <i>
      <x v="1"/>
    </i>
    <i t="grand">
      <x/>
    </i>
  </rowItems>
  <colItems count="1">
    <i/>
  </colItems>
  <dataFields count="1">
    <dataField name="Total Runs" fld="1" baseField="0" baseItem="0"/>
  </dataFields>
  <chartFormats count="4">
    <chartFormat chart="0" format="0" series="1">
      <pivotArea type="data" outline="0" fieldPosition="0">
        <references count="1">
          <reference field="4294967294" count="1" selected="0">
            <x v="0"/>
          </reference>
        </references>
      </pivotArea>
    </chartFormat>
    <chartFormat chart="16" format="4" series="1">
      <pivotArea type="data" outline="0" fieldPosition="0">
        <references count="1">
          <reference field="4294967294" count="1" selected="0">
            <x v="0"/>
          </reference>
        </references>
      </pivotArea>
    </chartFormat>
    <chartFormat chart="16" format="5">
      <pivotArea type="data" outline="0" fieldPosition="0">
        <references count="2">
          <reference field="4294967294" count="1" selected="0">
            <x v="0"/>
          </reference>
          <reference field="0" count="1" selected="0">
            <x v="0"/>
          </reference>
        </references>
      </pivotArea>
    </chartFormat>
    <chartFormat chart="16" format="6">
      <pivotArea type="data" outline="0" fieldPosition="0">
        <references count="2">
          <reference field="4294967294" count="1" selected="0">
            <x v="0"/>
          </reference>
          <reference field="0" count="1" selected="0">
            <x v="1"/>
          </reference>
        </references>
      </pivotArea>
    </chartFormat>
  </chartFormats>
  <pivotHierarchies count="78">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match]"/>
        <x15:activeTabTopLevelEntity name="[dim_team]"/>
        <x15:activeTabTopLevelEntity name="[dim_venu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connectionId="5" xr16:uid="{D2D6F2F4-F2D2-41F1-85BD-A7AD8D2EF841}" autoFormatId="16" applyNumberFormats="0" applyBorderFormats="0" applyFontFormats="0" applyPatternFormats="0" applyAlignmentFormats="0" applyWidthHeightFormats="0">
  <queryTableRefresh nextId="12">
    <queryTableFields count="11">
      <queryTableField id="1" name="Match_ID" tableColumnId="1"/>
      <queryTableField id="2" name="Player_ID" tableColumnId="2"/>
      <queryTableField id="3" name="Runs" tableColumnId="3"/>
      <queryTableField id="4" name="Balls_Faced" tableColumnId="4"/>
      <queryTableField id="5" name="Fours" tableColumnId="5"/>
      <queryTableField id="6" name="Sixes" tableColumnId="6"/>
      <queryTableField id="7" name="Strike_Rate" tableColumnId="7"/>
      <queryTableField id="8" name="Overs_Bowled" tableColumnId="8"/>
      <queryTableField id="9" name="Runs_Conceded" tableColumnId="9"/>
      <queryTableField id="10" name="Wickets" tableColumnId="10"/>
      <queryTableField id="11" name="Economy" tableColumnId="11"/>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connectionId="4" xr16:uid="{7720DE01-ACA6-4639-8EAB-2AFF3B1FF38E}" autoFormatId="16" applyNumberFormats="0" applyBorderFormats="0" applyFontFormats="0" applyPatternFormats="0" applyAlignmentFormats="0" applyWidthHeightFormats="0">
  <queryTableRefresh nextId="15">
    <queryTableFields count="14">
      <queryTableField id="1" name="Match_ID" tableColumnId="1"/>
      <queryTableField id="2" name="Date" tableColumnId="2"/>
      <queryTableField id="3" name="Venue_ID" tableColumnId="3"/>
      <queryTableField id="4" name="Team1_ID" tableColumnId="4"/>
      <queryTableField id="5" name="Team2_ID" tableColumnId="5"/>
      <queryTableField id="6" name="Toss_Winner" tableColumnId="6"/>
      <queryTableField id="7" name="Match_Winner" tableColumnId="7"/>
      <queryTableField id="8" name="Man_of_Match" tableColumnId="8"/>
      <queryTableField id="9" name="Team1_Runs" tableColumnId="9"/>
      <queryTableField id="10" name="Team2_Runs" tableColumnId="10"/>
      <queryTableField id="11" name="Team1_Wickets" tableColumnId="11"/>
      <queryTableField id="12" name="Team2_Wickets" tableColumnId="12"/>
      <queryTableField id="13" name="Overs_Team1" tableColumnId="13"/>
      <queryTableField id="14" name="Overs_Team2" tableColumnId="1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3" xr16:uid="{168D469F-6E5D-4071-B3A9-A662962B8398}" autoFormatId="16" applyNumberFormats="0" applyBorderFormats="0" applyFontFormats="0" applyPatternFormats="0" applyAlignmentFormats="0" applyWidthHeightFormats="0">
  <queryTableRefresh nextId="5">
    <queryTableFields count="4">
      <queryTableField id="1" name="Venue_ID" tableColumnId="1"/>
      <queryTableField id="2" name="Venue_Name" tableColumnId="2"/>
      <queryTableField id="3" name="City" tableColumnId="3"/>
      <queryTableField id="4" name="Capacity" tableColumnId="4"/>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2" xr16:uid="{FAFDC2C7-1519-4BBB-B67C-74C410090233}" autoFormatId="16" applyNumberFormats="0" applyBorderFormats="0" applyFontFormats="0" applyPatternFormats="0" applyAlignmentFormats="0" applyWidthHeightFormats="0">
  <queryTableRefresh nextId="8">
    <queryTableFields count="7">
      <queryTableField id="1" name="Team_ID" tableColumnId="1"/>
      <queryTableField id="2" name="Team_Name" tableColumnId="2"/>
      <queryTableField id="3" name="Captain" tableColumnId="3"/>
      <queryTableField id="4" name="Coach" tableColumnId="4"/>
      <queryTableField id="5" name="Home_Ground" tableColumnId="5"/>
      <queryTableField id="6" name="City" tableColumnId="6"/>
      <queryTableField id="7" name="Owner" tableColumnId="7"/>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1" xr16:uid="{7FE8605A-EB4F-435A-B755-6AD3723EF0A5}" autoFormatId="16" applyNumberFormats="0" applyBorderFormats="0" applyFontFormats="0" applyPatternFormats="0" applyAlignmentFormats="0" applyWidthHeightFormats="0">
  <queryTableRefresh nextId="9">
    <queryTableFields count="8">
      <queryTableField id="1" name="Player_ID" tableColumnId="1"/>
      <queryTableField id="2" name="Player_Name" tableColumnId="2"/>
      <queryTableField id="3" name="Team_ID" tableColumnId="3"/>
      <queryTableField id="4" name="Role" tableColumnId="4"/>
      <queryTableField id="5" name="Nationality" tableColumnId="5"/>
      <queryTableField id="6" name="Age" tableColumnId="6"/>
      <queryTableField id="7" name="Batting_Style" tableColumnId="7"/>
      <queryTableField id="8" name="Bowling_Style" tableColumnId="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am_Name" xr10:uid="{E3F85D54-A195-4D5A-8F16-D4FC4F85F0CE}" sourceName="[dim_team].[Team_Name]">
  <pivotTables>
    <pivotTable tabId="10" name="PivotTable13"/>
    <pivotTable tabId="11" name="PivotTable1"/>
    <pivotTable tabId="10" name="PivotTable12"/>
    <pivotTable tabId="10" name="PivotTable4"/>
    <pivotTable tabId="10" name="PivotTable14"/>
    <pivotTable tabId="10" name="PivotTable15"/>
  </pivotTables>
  <data>
    <olap pivotCacheId="1113824010">
      <levels count="2">
        <level uniqueName="[dim_team].[Team_Name].[(All)]" sourceCaption="(All)" count="0"/>
        <level uniqueName="[dim_team].[Team_Name].[Team_Name]" sourceCaption="Team_Name" count="9">
          <ranges>
            <range startItem="0">
              <i n="[dim_team].[Team_Name].&amp;[Chennai Super Kings (CSK)]" c="Chennai Super Kings (CSK)"/>
              <i n="[dim_team].[Team_Name].&amp;[Delhi Capitals (DC)]" c="Delhi Capitals (DC)"/>
              <i n="[dim_team].[Team_Name].&amp;[Kolkata Knight Riders (KKR)]" c="Kolkata Knight Riders (KKR)"/>
              <i n="[dim_team].[Team_Name].&amp;[Mumbai Indians (MI)]" c="Mumbai Indians (MI)"/>
              <i n="[dim_team].[Team_Name].&amp;[Punjab Kings (PBKS)]" c="Punjab Kings (PBKS)"/>
              <i n="[dim_team].[Team_Name].&amp;[Rajasthan Royals (RR)]" c="Rajasthan Royals (RR)"/>
              <i n="[dim_team].[Team_Name].&amp;[Royal Challengers Bengaluru (RCB)]" c="Royal Challengers Bengaluru (RCB)"/>
              <i n="[dim_team].[Team_Name].&amp;[Sunrisers Hyderabad (SRH)]" c="Sunrisers Hyderabad (SRH)"/>
              <i n="[dim_team].[Team_Name].&amp;" c="(blank)"/>
            </range>
          </ranges>
        </level>
      </levels>
      <selections count="1">
        <selection n="[dim_team].[Team_Nam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enue_Name" xr10:uid="{12E87936-F345-4A8F-B163-4CD34349109C}" sourceName="[dim_venue].[Venue_Name]">
  <pivotTables>
    <pivotTable tabId="10" name="PivotTable13"/>
    <pivotTable tabId="11" name="PivotTable1"/>
    <pivotTable tabId="10" name="PivotTable12"/>
    <pivotTable tabId="10" name="PivotTable14"/>
    <pivotTable tabId="10" name="PivotTable15"/>
    <pivotTable tabId="10" name="PivotTable4"/>
  </pivotTables>
  <data>
    <olap pivotCacheId="1113824010">
      <levels count="2">
        <level uniqueName="[dim_venue].[Venue_Name].[(All)]" sourceCaption="(All)" count="0"/>
        <level uniqueName="[dim_venue].[Venue_Name].[Venue_Name]" sourceCaption="Venue_Name" count="11">
          <ranges>
            <range startItem="0">
              <i n="[dim_venue].[Venue_Name].&amp;[Arun Jaitley Stadium]" c="Arun Jaitley Stadium"/>
              <i n="[dim_venue].[Venue_Name].&amp;[Bharat Ratna Shri Atal Bihari Vajpayee Ekana Cricket Stadium]" c="Bharat Ratna Shri Atal Bihari Vajpayee Ekana Cricket Stadium"/>
              <i n="[dim_venue].[Venue_Name].&amp;[Eden Gardens]" c="Eden Gardens"/>
              <i n="[dim_venue].[Venue_Name].&amp;[M. A. Chidambaram Stadium]" c="M. A. Chidambaram Stadium"/>
              <i n="[dim_venue].[Venue_Name].&amp;[M. Chinnaswamy Stadium]" c="M. Chinnaswamy Stadium"/>
              <i n="[dim_venue].[Venue_Name].&amp;[Maharaja Yadavindra Singh Int. Cricket Stadium]" c="Maharaja Yadavindra Singh Int. Cricket Stadium"/>
              <i n="[dim_venue].[Venue_Name].&amp;[Narendra Modi Stadium]" c="Narendra Modi Stadium"/>
              <i n="[dim_venue].[Venue_Name].&amp;[Rajiv Gandhi Int. Stadium]" c="Rajiv Gandhi Int. Stadium"/>
              <i n="[dim_venue].[Venue_Name].&amp;[Sawai Mansingh Stadium]" c="Sawai Mansingh Stadium"/>
              <i n="[dim_venue].[Venue_Name].&amp;[Wankhede Stadium]" c="Wankhede Stadium"/>
              <i n="[dim_venue].[Venue_Name].&amp;" c="(blank)"/>
            </range>
          </ranges>
        </level>
      </levels>
      <selections count="1">
        <selection n="[dim_venue].[Venue_Name].[All]"/>
      </selections>
    </olap>
  </data>
  <extLst>
    <x:ext xmlns:x15="http://schemas.microsoft.com/office/spreadsheetml/2010/11/main" uri="{470722E0-AACD-4C17-9CDC-17EF765DBC7E}">
      <x15:slicerCacheHideItemsWithNoData count="1">
        <x15:slicerCacheOlapLevelName uniqueName="[dim_venue].[Venue_Name].[Venue_Name]" count="0"/>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eam_Name" xr10:uid="{3C25E24B-85B7-424F-9664-9B5296EB05D1}" cache="Slicer_Team_Name" caption="Team_Name" level="1" rowHeight="247650"/>
  <slicer name="Venue_Name" xr10:uid="{5DD7F412-05AC-43DE-A0FF-D5E8A1E5A901}" cache="Slicer_Venue_Name" caption="Venue_Name" startItem="2" level="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A09C46F-7FB8-40E1-BBF7-3958C4B70F62}" name="fact_player" displayName="fact_player" ref="A1:K202" tableType="queryTable" totalsRowShown="0">
  <autoFilter ref="A1:K202" xr:uid="{DA09C46F-7FB8-40E1-BBF7-3958C4B70F62}"/>
  <tableColumns count="11">
    <tableColumn id="1" xr3:uid="{F4F00979-F269-4113-B65A-8CE2CDAE545D}" uniqueName="1" name="Match_ID" queryTableFieldId="1" dataDxfId="26"/>
    <tableColumn id="2" xr3:uid="{D1181D53-4CD5-4FC7-B01B-71CC7084E242}" uniqueName="2" name="Player_ID" queryTableFieldId="2" dataDxfId="25"/>
    <tableColumn id="3" xr3:uid="{B0B2FC67-3C8A-4E70-BE5E-190C2A546D2B}" uniqueName="3" name="Runs" queryTableFieldId="3"/>
    <tableColumn id="4" xr3:uid="{31FD3D1C-E61F-42EF-9A9A-5D976400CC21}" uniqueName="4" name="Balls_Faced" queryTableFieldId="4"/>
    <tableColumn id="5" xr3:uid="{BDF9C443-C82F-422D-83DE-F667F815FD4B}" uniqueName="5" name="Fours" queryTableFieldId="5"/>
    <tableColumn id="6" xr3:uid="{68AB7171-AA45-4C65-BDF4-8AD519F7B6D5}" uniqueName="6" name="Sixes" queryTableFieldId="6"/>
    <tableColumn id="7" xr3:uid="{BDC5394B-3F59-45B9-B5D4-5CDB96F657FC}" uniqueName="7" name="Strike_Rate" queryTableFieldId="7"/>
    <tableColumn id="8" xr3:uid="{63BF4AE4-3EA6-4F51-B0CA-09329F5C4D57}" uniqueName="8" name="Overs_Bowled" queryTableFieldId="8"/>
    <tableColumn id="9" xr3:uid="{D6BCDDA0-4E04-47E9-85E1-CCCC8D138193}" uniqueName="9" name="Runs_Conceded" queryTableFieldId="9"/>
    <tableColumn id="10" xr3:uid="{EBC81DF7-CAFA-4735-876F-BEC73D142C17}" uniqueName="10" name="Wickets" queryTableFieldId="10"/>
    <tableColumn id="11" xr3:uid="{6C3249E0-873C-4468-84C0-29992C4FD79E}" uniqueName="11" name="Economy" queryTableFieldId="11"/>
  </tableColumns>
  <tableStyleInfo name="TableStyleMedium1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2F8F03B-57FB-4872-A24A-629D9005463F}" name="fact_match" displayName="fact_match" ref="A1:N61" tableType="queryTable" totalsRowShown="0">
  <autoFilter ref="A1:N61" xr:uid="{52F8F03B-57FB-4872-A24A-629D9005463F}"/>
  <tableColumns count="14">
    <tableColumn id="1" xr3:uid="{7DFEB9BF-F030-43E2-901C-2FFD408CA017}" uniqueName="1" name="Match_ID" queryTableFieldId="1" dataDxfId="24"/>
    <tableColumn id="2" xr3:uid="{56806DDA-1330-4C14-A60C-5B369C6FB4F8}" uniqueName="2" name="Date" queryTableFieldId="2" dataDxfId="23"/>
    <tableColumn id="3" xr3:uid="{01332D8E-D600-449E-84C9-0E5876F34DDC}" uniqueName="3" name="Venue_ID" queryTableFieldId="3" dataDxfId="22"/>
    <tableColumn id="4" xr3:uid="{36B954C9-C14C-4D00-AB9D-DDDD9CA2A05B}" uniqueName="4" name="Team1_ID" queryTableFieldId="4" dataDxfId="21"/>
    <tableColumn id="5" xr3:uid="{309ECD96-7C71-4CA2-B465-008BFC48462A}" uniqueName="5" name="Team2_ID" queryTableFieldId="5" dataDxfId="20"/>
    <tableColumn id="6" xr3:uid="{63AB106B-D69B-4FF5-A01D-6903A5AE3D21}" uniqueName="6" name="Toss_Winner" queryTableFieldId="6" dataDxfId="19"/>
    <tableColumn id="7" xr3:uid="{F5B7C133-0386-4A21-B9EC-AAA0370A86B5}" uniqueName="7" name="Match_Winner" queryTableFieldId="7" dataDxfId="18"/>
    <tableColumn id="8" xr3:uid="{1E38FAF7-DC1B-4FE2-BD1E-B03D5491B503}" uniqueName="8" name="Man_of_Match" queryTableFieldId="8" dataDxfId="17"/>
    <tableColumn id="9" xr3:uid="{A57873F7-4C7C-44EE-9B76-1A49F42AAD03}" uniqueName="9" name="Team1_Runs" queryTableFieldId="9"/>
    <tableColumn id="10" xr3:uid="{9DCBF73C-6089-49DC-9EAE-19D365CE6C64}" uniqueName="10" name="Team2_Runs" queryTableFieldId="10"/>
    <tableColumn id="11" xr3:uid="{25E52905-77D5-428A-8268-71AA42F13AA8}" uniqueName="11" name="Team1_Wickets" queryTableFieldId="11"/>
    <tableColumn id="12" xr3:uid="{2DEEC78A-FD68-4B3E-8B65-CC2C2FE90A11}" uniqueName="12" name="Team2_Wickets" queryTableFieldId="12"/>
    <tableColumn id="13" xr3:uid="{2C6DA3BD-C1E5-4DD3-90E1-204B209B5C97}" uniqueName="13" name="Overs_Team1" queryTableFieldId="13"/>
    <tableColumn id="14" xr3:uid="{0308DBDD-F074-4888-9BAB-D5DFBE848699}" uniqueName="14" name="Overs_Team2" queryTableFieldId="14"/>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0235351-AC40-444A-9569-C3959B2B8594}" name="dim_venue" displayName="dim_venue" ref="A1:D11" tableType="queryTable" totalsRowShown="0">
  <autoFilter ref="A1:D11" xr:uid="{E0235351-AC40-444A-9569-C3959B2B8594}"/>
  <tableColumns count="4">
    <tableColumn id="1" xr3:uid="{F8CAB80E-2D18-4B7A-80A2-23BC6F79E677}" uniqueName="1" name="Venue_ID" queryTableFieldId="1" dataDxfId="16"/>
    <tableColumn id="2" xr3:uid="{B1457D03-2F68-4045-AA8C-DF60597311DE}" uniqueName="2" name="Venue_Name" queryTableFieldId="2" dataDxfId="15"/>
    <tableColumn id="3" xr3:uid="{C9C517A7-B01A-49EB-94E6-6117CDF3818D}" uniqueName="3" name="City" queryTableFieldId="3" dataDxfId="14"/>
    <tableColumn id="4" xr3:uid="{60CB8D2F-71FB-4225-AE0E-2400A2BECFF0}" uniqueName="4" name="Capacity" queryTableFieldId="4"/>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2751D67-AD02-489D-8613-19798FA1E9BD}" name="dim_team" displayName="dim_team" ref="A1:G9" tableType="queryTable" totalsRowShown="0">
  <autoFilter ref="A1:G9" xr:uid="{22751D67-AD02-489D-8613-19798FA1E9BD}"/>
  <tableColumns count="7">
    <tableColumn id="1" xr3:uid="{92340829-4A67-493E-A537-8008E43F2FAB}" uniqueName="1" name="Team_ID" queryTableFieldId="1" dataDxfId="13"/>
    <tableColumn id="2" xr3:uid="{BF3D5295-CCA1-4030-8F79-F58610BFC6C3}" uniqueName="2" name="Team_Name" queryTableFieldId="2" dataDxfId="12"/>
    <tableColumn id="3" xr3:uid="{B159C1A4-A2ED-4E2C-8DE6-6239B152BAA3}" uniqueName="3" name="Captain" queryTableFieldId="3" dataDxfId="11"/>
    <tableColumn id="4" xr3:uid="{DD011305-277B-48B9-9FF0-9B215101B2F3}" uniqueName="4" name="Coach" queryTableFieldId="4" dataDxfId="10"/>
    <tableColumn id="5" xr3:uid="{CEFEEE99-C685-4091-A798-C64A28EBAF90}" uniqueName="5" name="Home_Ground" queryTableFieldId="5" dataDxfId="9"/>
    <tableColumn id="6" xr3:uid="{F3C99788-20FA-4686-A1C2-B8598D5EC096}" uniqueName="6" name="City" queryTableFieldId="6" dataDxfId="8"/>
    <tableColumn id="7" xr3:uid="{7D2E2CE5-4BCF-4927-8809-68302BDDE78C}" uniqueName="7" name="Owner" queryTableFieldId="7" dataDxfId="7"/>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48673F-20E8-45D0-888D-F76CD527795C}" name="dim_player" displayName="dim_player" ref="A1:H34" tableType="queryTable" totalsRowShown="0">
  <autoFilter ref="A1:H34" xr:uid="{AD48673F-20E8-45D0-888D-F76CD527795C}"/>
  <tableColumns count="8">
    <tableColumn id="1" xr3:uid="{1BFC52FD-2A83-4F0B-9051-4781F1F4770E}" uniqueName="1" name="Player_ID" queryTableFieldId="1" dataDxfId="6"/>
    <tableColumn id="2" xr3:uid="{E03D60EA-74AE-4547-8147-61CFB311BE52}" uniqueName="2" name="Player_Name" queryTableFieldId="2" dataDxfId="5"/>
    <tableColumn id="3" xr3:uid="{BB0039A6-F8EA-4DD0-836D-366F16BE05D7}" uniqueName="3" name="Team_ID" queryTableFieldId="3" dataDxfId="4"/>
    <tableColumn id="4" xr3:uid="{3F392C92-942F-4FCB-B45C-C29917C16886}" uniqueName="4" name="Role" queryTableFieldId="4" dataDxfId="3"/>
    <tableColumn id="5" xr3:uid="{33490B59-91E0-40C9-A121-E8DDC8B9EF6B}" uniqueName="5" name="Nationality" queryTableFieldId="5" dataDxfId="2"/>
    <tableColumn id="6" xr3:uid="{F31D6F5F-04B5-4B03-8ABC-D98B1E0C468B}" uniqueName="6" name="Age" queryTableFieldId="6"/>
    <tableColumn id="7" xr3:uid="{1E9A172F-F658-4731-A77A-E65B04E8B753}" uniqueName="7" name="Batting_Style" queryTableFieldId="7" dataDxfId="1"/>
    <tableColumn id="8" xr3:uid="{653290F9-B092-481D-8DEA-64799C48E0F6}" uniqueName="8" name="Bowling_Style" queryTableFieldId="8" dataDxfId="0"/>
  </tableColumns>
  <tableStyleInfo name="TableStyleMedium1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4.xml"/><Relationship Id="rId7" Type="http://schemas.openxmlformats.org/officeDocument/2006/relationships/drawing" Target="../drawings/drawing1.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printerSettings" Target="../printerSettings/printerSettings1.bin"/><Relationship Id="rId5" Type="http://schemas.openxmlformats.org/officeDocument/2006/relationships/pivotTable" Target="../pivotTables/pivotTable6.xml"/><Relationship Id="rId4" Type="http://schemas.openxmlformats.org/officeDocument/2006/relationships/pivotTable" Target="../pivotTables/pivotTable5.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4F60E-FF6C-4644-A4F8-C5AD547C9743}">
  <sheetPr codeName="Sheet1"/>
  <dimension ref="A3:G187"/>
  <sheetViews>
    <sheetView topLeftCell="A4" workbookViewId="0">
      <selection activeCell="G23" sqref="G23"/>
    </sheetView>
  </sheetViews>
  <sheetFormatPr defaultRowHeight="14.4" x14ac:dyDescent="0.3"/>
  <cols>
    <col min="1" max="1" width="33.6640625" bestFit="1" customWidth="1"/>
    <col min="2" max="2" width="9.44140625" bestFit="1" customWidth="1"/>
    <col min="3" max="3" width="9.6640625" bestFit="1" customWidth="1"/>
    <col min="4" max="5" width="13.88671875" bestFit="1" customWidth="1"/>
    <col min="6" max="6" width="10.109375" bestFit="1" customWidth="1"/>
    <col min="7" max="7" width="8.5546875" bestFit="1" customWidth="1"/>
  </cols>
  <sheetData>
    <row r="3" spans="1:7" x14ac:dyDescent="0.3">
      <c r="A3" s="2" t="s">
        <v>344</v>
      </c>
      <c r="B3" t="s">
        <v>339</v>
      </c>
      <c r="C3" t="s">
        <v>345</v>
      </c>
      <c r="D3" t="s">
        <v>346</v>
      </c>
      <c r="E3" t="s">
        <v>347</v>
      </c>
      <c r="F3" t="s">
        <v>348</v>
      </c>
      <c r="G3" t="s">
        <v>257</v>
      </c>
    </row>
    <row r="4" spans="1:7" x14ac:dyDescent="0.3">
      <c r="A4" s="3" t="s">
        <v>97</v>
      </c>
      <c r="B4" s="4"/>
      <c r="C4" s="4"/>
      <c r="D4" s="4"/>
      <c r="E4" s="4"/>
      <c r="F4" s="4"/>
      <c r="G4" s="4"/>
    </row>
    <row r="5" spans="1:7" x14ac:dyDescent="0.3">
      <c r="A5" s="7" t="s">
        <v>11</v>
      </c>
      <c r="B5" s="4"/>
      <c r="C5" s="4"/>
      <c r="D5" s="4"/>
      <c r="E5" s="4"/>
      <c r="F5" s="4"/>
      <c r="G5" s="4"/>
    </row>
    <row r="6" spans="1:7" x14ac:dyDescent="0.3">
      <c r="A6" s="8" t="s">
        <v>156</v>
      </c>
      <c r="B6" s="4">
        <v>130</v>
      </c>
      <c r="C6" s="4">
        <v>80</v>
      </c>
      <c r="D6" s="5">
        <v>0</v>
      </c>
      <c r="E6" s="4">
        <v>0</v>
      </c>
      <c r="F6" s="4">
        <v>325</v>
      </c>
      <c r="G6" s="4">
        <v>0</v>
      </c>
    </row>
    <row r="7" spans="1:7" x14ac:dyDescent="0.3">
      <c r="A7" s="8" t="s">
        <v>172</v>
      </c>
      <c r="B7" s="4">
        <v>90</v>
      </c>
      <c r="C7" s="4">
        <v>55</v>
      </c>
      <c r="D7" s="5">
        <v>0</v>
      </c>
      <c r="E7" s="4">
        <v>0</v>
      </c>
      <c r="F7" s="4">
        <v>308.33</v>
      </c>
      <c r="G7" s="4">
        <v>0</v>
      </c>
    </row>
    <row r="8" spans="1:7" x14ac:dyDescent="0.3">
      <c r="A8" s="8" t="s">
        <v>342</v>
      </c>
      <c r="B8" s="4">
        <v>220</v>
      </c>
      <c r="C8" s="4">
        <v>130</v>
      </c>
      <c r="D8" s="5">
        <v>0</v>
      </c>
      <c r="E8" s="4">
        <v>0</v>
      </c>
      <c r="F8" s="4">
        <v>504.92</v>
      </c>
      <c r="G8" s="4">
        <v>0</v>
      </c>
    </row>
    <row r="9" spans="1:7" x14ac:dyDescent="0.3">
      <c r="A9" s="3" t="s">
        <v>343</v>
      </c>
      <c r="B9" s="4">
        <v>368</v>
      </c>
      <c r="C9" s="4">
        <v>194</v>
      </c>
      <c r="D9" s="5">
        <v>11</v>
      </c>
      <c r="E9" s="4">
        <v>216</v>
      </c>
      <c r="F9" s="4">
        <v>1311.95</v>
      </c>
      <c r="G9" s="4">
        <v>54</v>
      </c>
    </row>
    <row r="10" spans="1:7" x14ac:dyDescent="0.3">
      <c r="A10" s="3" t="s">
        <v>89</v>
      </c>
      <c r="B10" s="4"/>
      <c r="C10" s="4"/>
      <c r="D10" s="4"/>
      <c r="E10" s="4"/>
      <c r="F10" s="4"/>
      <c r="G10" s="4"/>
    </row>
    <row r="11" spans="1:7" x14ac:dyDescent="0.3">
      <c r="A11" s="7" t="s">
        <v>17</v>
      </c>
      <c r="B11" s="4"/>
      <c r="C11" s="4"/>
      <c r="D11" s="4"/>
      <c r="E11" s="4"/>
      <c r="F11" s="4"/>
      <c r="G11" s="4"/>
    </row>
    <row r="12" spans="1:7" x14ac:dyDescent="0.3">
      <c r="A12" s="8" t="s">
        <v>160</v>
      </c>
      <c r="B12" s="4">
        <v>0</v>
      </c>
      <c r="C12" s="4">
        <v>0</v>
      </c>
      <c r="D12" s="5">
        <v>3</v>
      </c>
      <c r="E12" s="4">
        <v>22</v>
      </c>
      <c r="F12" s="4">
        <v>0</v>
      </c>
      <c r="G12" s="4">
        <v>5.5</v>
      </c>
    </row>
    <row r="13" spans="1:7" x14ac:dyDescent="0.3">
      <c r="A13" s="8" t="s">
        <v>156</v>
      </c>
      <c r="B13" s="4">
        <v>0</v>
      </c>
      <c r="C13" s="4">
        <v>0</v>
      </c>
      <c r="D13" s="5">
        <v>2</v>
      </c>
      <c r="E13" s="4">
        <v>30</v>
      </c>
      <c r="F13" s="4">
        <v>0</v>
      </c>
      <c r="G13" s="4">
        <v>7.5</v>
      </c>
    </row>
    <row r="14" spans="1:7" x14ac:dyDescent="0.3">
      <c r="A14" s="8" t="s">
        <v>144</v>
      </c>
      <c r="B14" s="4">
        <v>0</v>
      </c>
      <c r="C14" s="4">
        <v>0</v>
      </c>
      <c r="D14" s="5">
        <v>1</v>
      </c>
      <c r="E14" s="4">
        <v>38</v>
      </c>
      <c r="F14" s="4">
        <v>0</v>
      </c>
      <c r="G14" s="4">
        <v>9.5</v>
      </c>
    </row>
    <row r="15" spans="1:7" x14ac:dyDescent="0.3">
      <c r="A15" s="8" t="s">
        <v>168</v>
      </c>
      <c r="B15" s="4">
        <v>0</v>
      </c>
      <c r="C15" s="4">
        <v>0</v>
      </c>
      <c r="D15" s="5">
        <v>2</v>
      </c>
      <c r="E15" s="4">
        <v>30</v>
      </c>
      <c r="F15" s="4">
        <v>0</v>
      </c>
      <c r="G15" s="4">
        <v>7.5</v>
      </c>
    </row>
    <row r="16" spans="1:7" x14ac:dyDescent="0.3">
      <c r="A16" s="8" t="s">
        <v>164</v>
      </c>
      <c r="B16" s="4">
        <v>0</v>
      </c>
      <c r="C16" s="4">
        <v>0</v>
      </c>
      <c r="D16" s="5">
        <v>3</v>
      </c>
      <c r="E16" s="4">
        <v>22</v>
      </c>
      <c r="F16" s="4">
        <v>0</v>
      </c>
      <c r="G16" s="4">
        <v>5.5</v>
      </c>
    </row>
    <row r="17" spans="1:7" x14ac:dyDescent="0.3">
      <c r="A17" s="8" t="s">
        <v>342</v>
      </c>
      <c r="B17" s="4">
        <v>0</v>
      </c>
      <c r="C17" s="4">
        <v>0</v>
      </c>
      <c r="D17" s="5">
        <v>8</v>
      </c>
      <c r="E17" s="4">
        <v>90</v>
      </c>
      <c r="F17" s="4">
        <v>0</v>
      </c>
      <c r="G17" s="4">
        <v>22.5</v>
      </c>
    </row>
    <row r="18" spans="1:7" x14ac:dyDescent="0.3">
      <c r="A18" s="3" t="s">
        <v>72</v>
      </c>
      <c r="B18" s="4"/>
      <c r="C18" s="4"/>
      <c r="D18" s="4"/>
      <c r="E18" s="4"/>
      <c r="F18" s="4"/>
      <c r="G18" s="4"/>
    </row>
    <row r="19" spans="1:7" x14ac:dyDescent="0.3">
      <c r="A19" s="7" t="s">
        <v>26</v>
      </c>
      <c r="B19" s="4"/>
      <c r="C19" s="4"/>
      <c r="D19" s="4"/>
      <c r="E19" s="4"/>
      <c r="F19" s="4"/>
      <c r="G19" s="4"/>
    </row>
    <row r="20" spans="1:7" x14ac:dyDescent="0.3">
      <c r="A20" s="8" t="s">
        <v>160</v>
      </c>
      <c r="B20" s="4">
        <v>0</v>
      </c>
      <c r="C20" s="4">
        <v>0</v>
      </c>
      <c r="D20" s="5">
        <v>3</v>
      </c>
      <c r="E20" s="4">
        <v>53</v>
      </c>
      <c r="F20" s="4">
        <v>0</v>
      </c>
      <c r="G20" s="4">
        <v>13.25</v>
      </c>
    </row>
    <row r="21" spans="1:7" x14ac:dyDescent="0.3">
      <c r="A21" s="8" t="s">
        <v>164</v>
      </c>
      <c r="B21" s="4">
        <v>0</v>
      </c>
      <c r="C21" s="4">
        <v>0</v>
      </c>
      <c r="D21" s="5">
        <v>1</v>
      </c>
      <c r="E21" s="4">
        <v>25</v>
      </c>
      <c r="F21" s="4">
        <v>0</v>
      </c>
      <c r="G21" s="4">
        <v>6.25</v>
      </c>
    </row>
    <row r="22" spans="1:7" x14ac:dyDescent="0.3">
      <c r="A22" s="8" t="s">
        <v>342</v>
      </c>
      <c r="B22" s="4">
        <v>0</v>
      </c>
      <c r="C22" s="4">
        <v>0</v>
      </c>
      <c r="D22" s="5">
        <v>5</v>
      </c>
      <c r="E22" s="4">
        <v>42</v>
      </c>
      <c r="F22" s="4">
        <v>0</v>
      </c>
      <c r="G22" s="4">
        <v>10.5</v>
      </c>
    </row>
    <row r="23" spans="1:7" x14ac:dyDescent="0.3">
      <c r="A23" s="3" t="s">
        <v>100</v>
      </c>
      <c r="B23" s="4"/>
      <c r="C23" s="4"/>
      <c r="D23" s="4"/>
      <c r="E23" s="4"/>
      <c r="F23" s="4"/>
      <c r="G23" s="4"/>
    </row>
    <row r="24" spans="1:7" x14ac:dyDescent="0.3">
      <c r="A24" s="7" t="s">
        <v>17</v>
      </c>
      <c r="B24" s="4"/>
      <c r="C24" s="4"/>
      <c r="D24" s="4"/>
      <c r="E24" s="4"/>
      <c r="F24" s="4"/>
      <c r="G24" s="4"/>
    </row>
    <row r="25" spans="1:7" x14ac:dyDescent="0.3">
      <c r="A25" s="8" t="s">
        <v>152</v>
      </c>
      <c r="B25" s="4">
        <v>0</v>
      </c>
      <c r="C25" s="4">
        <v>0</v>
      </c>
      <c r="D25" s="5">
        <v>1</v>
      </c>
      <c r="E25" s="4">
        <v>42</v>
      </c>
      <c r="F25" s="4">
        <v>0</v>
      </c>
      <c r="G25" s="4">
        <v>10.5</v>
      </c>
    </row>
    <row r="26" spans="1:7" x14ac:dyDescent="0.3">
      <c r="A26" s="8" t="s">
        <v>172</v>
      </c>
      <c r="B26" s="4">
        <v>0</v>
      </c>
      <c r="C26" s="4">
        <v>0</v>
      </c>
      <c r="D26" s="5">
        <v>4</v>
      </c>
      <c r="E26" s="4">
        <v>53</v>
      </c>
      <c r="F26" s="4">
        <v>0</v>
      </c>
      <c r="G26" s="4">
        <v>13.25</v>
      </c>
    </row>
    <row r="27" spans="1:7" x14ac:dyDescent="0.3">
      <c r="A27" s="8" t="s">
        <v>342</v>
      </c>
      <c r="B27" s="4">
        <v>0</v>
      </c>
      <c r="C27" s="4">
        <v>0</v>
      </c>
      <c r="D27" s="5">
        <v>1</v>
      </c>
      <c r="E27" s="4">
        <v>35</v>
      </c>
      <c r="F27" s="4">
        <v>0</v>
      </c>
      <c r="G27" s="4">
        <v>8.75</v>
      </c>
    </row>
    <row r="28" spans="1:7" x14ac:dyDescent="0.3">
      <c r="A28" s="3" t="s">
        <v>37</v>
      </c>
      <c r="B28" s="4"/>
      <c r="C28" s="4"/>
      <c r="D28" s="4"/>
      <c r="E28" s="4"/>
      <c r="F28" s="4"/>
      <c r="G28" s="4"/>
    </row>
    <row r="29" spans="1:7" x14ac:dyDescent="0.3">
      <c r="A29" s="7" t="s">
        <v>26</v>
      </c>
      <c r="B29" s="4"/>
      <c r="C29" s="4"/>
      <c r="D29" s="4"/>
      <c r="E29" s="4"/>
      <c r="F29" s="4"/>
      <c r="G29" s="4"/>
    </row>
    <row r="30" spans="1:7" x14ac:dyDescent="0.3">
      <c r="A30" s="8" t="s">
        <v>148</v>
      </c>
      <c r="B30" s="4">
        <v>30</v>
      </c>
      <c r="C30" s="4">
        <v>22</v>
      </c>
      <c r="D30" s="5">
        <v>0</v>
      </c>
      <c r="E30" s="4">
        <v>0</v>
      </c>
      <c r="F30" s="4">
        <v>136.36000000000001</v>
      </c>
      <c r="G30" s="4">
        <v>0</v>
      </c>
    </row>
    <row r="31" spans="1:7" x14ac:dyDescent="0.3">
      <c r="A31" s="8" t="s">
        <v>160</v>
      </c>
      <c r="B31" s="4">
        <v>30</v>
      </c>
      <c r="C31" s="4">
        <v>20</v>
      </c>
      <c r="D31" s="5">
        <v>0</v>
      </c>
      <c r="E31" s="4">
        <v>0</v>
      </c>
      <c r="F31" s="4">
        <v>150</v>
      </c>
      <c r="G31" s="4">
        <v>0</v>
      </c>
    </row>
    <row r="32" spans="1:7" x14ac:dyDescent="0.3">
      <c r="A32" s="8" t="s">
        <v>144</v>
      </c>
      <c r="B32" s="4">
        <v>48</v>
      </c>
      <c r="C32" s="4">
        <v>32</v>
      </c>
      <c r="D32" s="5">
        <v>0</v>
      </c>
      <c r="E32" s="4">
        <v>0</v>
      </c>
      <c r="F32" s="4">
        <v>150</v>
      </c>
      <c r="G32" s="4">
        <v>0</v>
      </c>
    </row>
    <row r="33" spans="1:7" x14ac:dyDescent="0.3">
      <c r="A33" s="8" t="s">
        <v>172</v>
      </c>
      <c r="B33" s="4">
        <v>48</v>
      </c>
      <c r="C33" s="4">
        <v>32</v>
      </c>
      <c r="D33" s="5">
        <v>0</v>
      </c>
      <c r="E33" s="4">
        <v>0</v>
      </c>
      <c r="F33" s="4">
        <v>150</v>
      </c>
      <c r="G33" s="4">
        <v>0</v>
      </c>
    </row>
    <row r="34" spans="1:7" x14ac:dyDescent="0.3">
      <c r="A34" s="8" t="s">
        <v>342</v>
      </c>
      <c r="B34" s="4">
        <v>105</v>
      </c>
      <c r="C34" s="4">
        <v>65</v>
      </c>
      <c r="D34" s="5">
        <v>0</v>
      </c>
      <c r="E34" s="4">
        <v>0</v>
      </c>
      <c r="F34" s="4">
        <v>323.81</v>
      </c>
      <c r="G34" s="4">
        <v>0</v>
      </c>
    </row>
    <row r="35" spans="1:7" x14ac:dyDescent="0.3">
      <c r="A35" s="3" t="s">
        <v>64</v>
      </c>
      <c r="B35" s="4"/>
      <c r="C35" s="4"/>
      <c r="D35" s="4"/>
      <c r="E35" s="4"/>
      <c r="F35" s="4"/>
      <c r="G35" s="4"/>
    </row>
    <row r="36" spans="1:7" x14ac:dyDescent="0.3">
      <c r="A36" s="7" t="s">
        <v>11</v>
      </c>
      <c r="B36" s="4"/>
      <c r="C36" s="4"/>
      <c r="D36" s="4"/>
      <c r="E36" s="4"/>
      <c r="F36" s="4"/>
      <c r="G36" s="4"/>
    </row>
    <row r="37" spans="1:7" x14ac:dyDescent="0.3">
      <c r="A37" s="8" t="s">
        <v>160</v>
      </c>
      <c r="B37" s="4">
        <v>130</v>
      </c>
      <c r="C37" s="4">
        <v>80</v>
      </c>
      <c r="D37" s="5">
        <v>0</v>
      </c>
      <c r="E37" s="4">
        <v>0</v>
      </c>
      <c r="F37" s="4">
        <v>313.33</v>
      </c>
      <c r="G37" s="4">
        <v>0</v>
      </c>
    </row>
    <row r="38" spans="1:7" x14ac:dyDescent="0.3">
      <c r="A38" s="8" t="s">
        <v>156</v>
      </c>
      <c r="B38" s="4">
        <v>55</v>
      </c>
      <c r="C38" s="4">
        <v>35</v>
      </c>
      <c r="D38" s="5">
        <v>0</v>
      </c>
      <c r="E38" s="4">
        <v>0</v>
      </c>
      <c r="F38" s="4">
        <v>157.13999999999999</v>
      </c>
      <c r="G38" s="4">
        <v>0</v>
      </c>
    </row>
    <row r="39" spans="1:7" x14ac:dyDescent="0.3">
      <c r="A39" s="8" t="s">
        <v>144</v>
      </c>
      <c r="B39" s="4">
        <v>25</v>
      </c>
      <c r="C39" s="4">
        <v>20</v>
      </c>
      <c r="D39" s="5">
        <v>0</v>
      </c>
      <c r="E39" s="4">
        <v>0</v>
      </c>
      <c r="F39" s="4">
        <v>125</v>
      </c>
      <c r="G39" s="4">
        <v>0</v>
      </c>
    </row>
    <row r="40" spans="1:7" x14ac:dyDescent="0.3">
      <c r="A40" s="8" t="s">
        <v>172</v>
      </c>
      <c r="B40" s="4">
        <v>90</v>
      </c>
      <c r="C40" s="4">
        <v>70</v>
      </c>
      <c r="D40" s="5">
        <v>0</v>
      </c>
      <c r="E40" s="4">
        <v>0</v>
      </c>
      <c r="F40" s="4">
        <v>257.14</v>
      </c>
      <c r="G40" s="4">
        <v>0</v>
      </c>
    </row>
    <row r="41" spans="1:7" x14ac:dyDescent="0.3">
      <c r="A41" s="3" t="s">
        <v>34</v>
      </c>
      <c r="B41" s="4"/>
      <c r="C41" s="4"/>
      <c r="D41" s="4"/>
      <c r="E41" s="4"/>
      <c r="F41" s="4"/>
      <c r="G41" s="4"/>
    </row>
    <row r="42" spans="1:7" x14ac:dyDescent="0.3">
      <c r="A42" s="7" t="s">
        <v>17</v>
      </c>
      <c r="B42" s="4"/>
      <c r="C42" s="4"/>
      <c r="D42" s="4"/>
      <c r="E42" s="4"/>
      <c r="F42" s="4"/>
      <c r="G42" s="4"/>
    </row>
    <row r="43" spans="1:7" x14ac:dyDescent="0.3">
      <c r="A43" s="8" t="s">
        <v>148</v>
      </c>
      <c r="B43" s="4">
        <v>0</v>
      </c>
      <c r="C43" s="4">
        <v>0</v>
      </c>
      <c r="D43" s="5">
        <v>7</v>
      </c>
      <c r="E43" s="4">
        <v>81</v>
      </c>
      <c r="F43" s="4">
        <v>0</v>
      </c>
      <c r="G43" s="4">
        <v>20.25</v>
      </c>
    </row>
    <row r="44" spans="1:7" x14ac:dyDescent="0.3">
      <c r="A44" s="8" t="s">
        <v>144</v>
      </c>
      <c r="B44" s="4">
        <v>0</v>
      </c>
      <c r="C44" s="4">
        <v>0</v>
      </c>
      <c r="D44" s="5">
        <v>3</v>
      </c>
      <c r="E44" s="4">
        <v>24</v>
      </c>
      <c r="F44" s="4">
        <v>0</v>
      </c>
      <c r="G44" s="4">
        <v>6</v>
      </c>
    </row>
    <row r="45" spans="1:7" x14ac:dyDescent="0.3">
      <c r="A45" s="8" t="s">
        <v>342</v>
      </c>
      <c r="B45" s="4">
        <v>0</v>
      </c>
      <c r="C45" s="4">
        <v>0</v>
      </c>
      <c r="D45" s="5">
        <v>7</v>
      </c>
      <c r="E45" s="4">
        <v>83</v>
      </c>
      <c r="F45" s="4">
        <v>0</v>
      </c>
      <c r="G45" s="4">
        <v>20.75</v>
      </c>
    </row>
    <row r="46" spans="1:7" x14ac:dyDescent="0.3">
      <c r="A46" s="3" t="s">
        <v>51</v>
      </c>
      <c r="B46" s="4"/>
      <c r="C46" s="4"/>
      <c r="D46" s="4"/>
      <c r="E46" s="4"/>
      <c r="F46" s="4"/>
      <c r="G46" s="4"/>
    </row>
    <row r="47" spans="1:7" x14ac:dyDescent="0.3">
      <c r="A47" s="7" t="s">
        <v>21</v>
      </c>
      <c r="B47" s="4"/>
      <c r="C47" s="4"/>
      <c r="D47" s="4"/>
      <c r="E47" s="4"/>
      <c r="F47" s="4"/>
      <c r="G47" s="4"/>
    </row>
    <row r="48" spans="1:7" x14ac:dyDescent="0.3">
      <c r="A48" s="8" t="s">
        <v>152</v>
      </c>
      <c r="B48" s="4">
        <v>42</v>
      </c>
      <c r="C48" s="4">
        <v>21</v>
      </c>
      <c r="D48" s="5">
        <v>0</v>
      </c>
      <c r="E48" s="4">
        <v>0</v>
      </c>
      <c r="F48" s="4">
        <v>200</v>
      </c>
      <c r="G48" s="4">
        <v>0</v>
      </c>
    </row>
    <row r="49" spans="1:7" x14ac:dyDescent="0.3">
      <c r="A49" s="3" t="s">
        <v>48</v>
      </c>
      <c r="B49" s="4"/>
      <c r="C49" s="4"/>
      <c r="D49" s="4"/>
      <c r="E49" s="4"/>
      <c r="F49" s="4"/>
      <c r="G49" s="4"/>
    </row>
    <row r="50" spans="1:7" x14ac:dyDescent="0.3">
      <c r="A50" s="7" t="s">
        <v>26</v>
      </c>
      <c r="B50" s="4"/>
      <c r="C50" s="4"/>
      <c r="D50" s="4"/>
      <c r="E50" s="4"/>
      <c r="F50" s="4"/>
      <c r="G50" s="4"/>
    </row>
    <row r="51" spans="1:7" x14ac:dyDescent="0.3">
      <c r="A51" s="8" t="s">
        <v>148</v>
      </c>
      <c r="B51" s="4">
        <v>0</v>
      </c>
      <c r="C51" s="4">
        <v>0</v>
      </c>
      <c r="D51" s="5">
        <v>2</v>
      </c>
      <c r="E51" s="4">
        <v>28</v>
      </c>
      <c r="F51" s="4">
        <v>0</v>
      </c>
      <c r="G51" s="4">
        <v>7</v>
      </c>
    </row>
    <row r="52" spans="1:7" x14ac:dyDescent="0.3">
      <c r="A52" s="8" t="s">
        <v>164</v>
      </c>
      <c r="B52" s="4">
        <v>33</v>
      </c>
      <c r="C52" s="4">
        <v>20</v>
      </c>
      <c r="D52" s="5">
        <v>0</v>
      </c>
      <c r="E52" s="4">
        <v>0</v>
      </c>
      <c r="F52" s="4">
        <v>165</v>
      </c>
      <c r="G52" s="4">
        <v>0</v>
      </c>
    </row>
    <row r="53" spans="1:7" x14ac:dyDescent="0.3">
      <c r="A53" s="8" t="s">
        <v>152</v>
      </c>
      <c r="B53" s="4">
        <v>68</v>
      </c>
      <c r="C53" s="4">
        <v>40</v>
      </c>
      <c r="D53" s="5">
        <v>0</v>
      </c>
      <c r="E53" s="4">
        <v>0</v>
      </c>
      <c r="F53" s="4">
        <v>170</v>
      </c>
      <c r="G53" s="4">
        <v>0</v>
      </c>
    </row>
    <row r="54" spans="1:7" x14ac:dyDescent="0.3">
      <c r="A54" s="8" t="s">
        <v>342</v>
      </c>
      <c r="B54" s="4">
        <v>50</v>
      </c>
      <c r="C54" s="4">
        <v>25</v>
      </c>
      <c r="D54" s="5">
        <v>0</v>
      </c>
      <c r="E54" s="4">
        <v>0</v>
      </c>
      <c r="F54" s="4">
        <v>200</v>
      </c>
      <c r="G54" s="4">
        <v>0</v>
      </c>
    </row>
    <row r="55" spans="1:7" x14ac:dyDescent="0.3">
      <c r="A55" s="3" t="s">
        <v>28</v>
      </c>
      <c r="B55" s="4"/>
      <c r="C55" s="4"/>
      <c r="D55" s="4"/>
      <c r="E55" s="4"/>
      <c r="F55" s="4"/>
      <c r="G55" s="4"/>
    </row>
    <row r="56" spans="1:7" x14ac:dyDescent="0.3">
      <c r="A56" s="7" t="s">
        <v>26</v>
      </c>
      <c r="B56" s="4"/>
      <c r="C56" s="4"/>
      <c r="D56" s="4"/>
      <c r="E56" s="4"/>
      <c r="F56" s="4"/>
      <c r="G56" s="4"/>
    </row>
    <row r="57" spans="1:7" x14ac:dyDescent="0.3">
      <c r="A57" s="8" t="s">
        <v>144</v>
      </c>
      <c r="B57" s="4">
        <v>65</v>
      </c>
      <c r="C57" s="4">
        <v>45</v>
      </c>
      <c r="D57" s="5">
        <v>2</v>
      </c>
      <c r="E57" s="4">
        <v>25</v>
      </c>
      <c r="F57" s="4">
        <v>290</v>
      </c>
      <c r="G57" s="4">
        <v>6.25</v>
      </c>
    </row>
    <row r="58" spans="1:7" x14ac:dyDescent="0.3">
      <c r="A58" s="8" t="s">
        <v>168</v>
      </c>
      <c r="B58" s="4">
        <v>25</v>
      </c>
      <c r="C58" s="4">
        <v>18</v>
      </c>
      <c r="D58" s="5">
        <v>1</v>
      </c>
      <c r="E58" s="4">
        <v>35</v>
      </c>
      <c r="F58" s="4">
        <v>138.88999999999999</v>
      </c>
      <c r="G58" s="4">
        <v>8.75</v>
      </c>
    </row>
    <row r="59" spans="1:7" x14ac:dyDescent="0.3">
      <c r="A59" s="8" t="s">
        <v>342</v>
      </c>
      <c r="B59" s="4">
        <v>90</v>
      </c>
      <c r="C59" s="4">
        <v>55</v>
      </c>
      <c r="D59" s="5">
        <v>3</v>
      </c>
      <c r="E59" s="4">
        <v>65</v>
      </c>
      <c r="F59" s="4">
        <v>326.67</v>
      </c>
      <c r="G59" s="4">
        <v>16.25</v>
      </c>
    </row>
    <row r="60" spans="1:7" x14ac:dyDescent="0.3">
      <c r="A60" s="3" t="s">
        <v>102</v>
      </c>
      <c r="B60" s="4"/>
      <c r="C60" s="4"/>
      <c r="D60" s="4"/>
      <c r="E60" s="4"/>
      <c r="F60" s="4"/>
      <c r="G60" s="4"/>
    </row>
    <row r="61" spans="1:7" x14ac:dyDescent="0.3">
      <c r="A61" s="7" t="s">
        <v>21</v>
      </c>
      <c r="B61" s="4"/>
      <c r="C61" s="4"/>
      <c r="D61" s="4"/>
      <c r="E61" s="4"/>
      <c r="F61" s="4"/>
      <c r="G61" s="4"/>
    </row>
    <row r="62" spans="1:7" x14ac:dyDescent="0.3">
      <c r="A62" s="8" t="s">
        <v>156</v>
      </c>
      <c r="B62" s="4">
        <v>56</v>
      </c>
      <c r="C62" s="4">
        <v>28</v>
      </c>
      <c r="D62" s="5">
        <v>0</v>
      </c>
      <c r="E62" s="4">
        <v>0</v>
      </c>
      <c r="F62" s="4">
        <v>200</v>
      </c>
      <c r="G62" s="4">
        <v>0</v>
      </c>
    </row>
    <row r="63" spans="1:7" x14ac:dyDescent="0.3">
      <c r="A63" s="8" t="s">
        <v>144</v>
      </c>
      <c r="B63" s="4">
        <v>56</v>
      </c>
      <c r="C63" s="4">
        <v>28</v>
      </c>
      <c r="D63" s="5">
        <v>0</v>
      </c>
      <c r="E63" s="4">
        <v>0</v>
      </c>
      <c r="F63" s="4">
        <v>200</v>
      </c>
      <c r="G63" s="4">
        <v>0</v>
      </c>
    </row>
    <row r="64" spans="1:7" x14ac:dyDescent="0.3">
      <c r="A64" s="8" t="s">
        <v>172</v>
      </c>
      <c r="B64" s="4">
        <v>110</v>
      </c>
      <c r="C64" s="4">
        <v>60</v>
      </c>
      <c r="D64" s="5">
        <v>0</v>
      </c>
      <c r="E64" s="4">
        <v>0</v>
      </c>
      <c r="F64" s="4">
        <v>183.33</v>
      </c>
      <c r="G64" s="4">
        <v>0</v>
      </c>
    </row>
    <row r="65" spans="1:7" x14ac:dyDescent="0.3">
      <c r="A65" s="8" t="s">
        <v>342</v>
      </c>
      <c r="B65" s="4">
        <v>260</v>
      </c>
      <c r="C65" s="4">
        <v>140</v>
      </c>
      <c r="D65" s="5">
        <v>0</v>
      </c>
      <c r="E65" s="4">
        <v>0</v>
      </c>
      <c r="F65" s="4">
        <v>750.99</v>
      </c>
      <c r="G65" s="4">
        <v>0</v>
      </c>
    </row>
    <row r="66" spans="1:7" x14ac:dyDescent="0.3">
      <c r="A66" s="3" t="s">
        <v>20</v>
      </c>
      <c r="B66" s="4"/>
      <c r="C66" s="4"/>
      <c r="D66" s="4"/>
      <c r="E66" s="4"/>
      <c r="F66" s="4"/>
      <c r="G66" s="4"/>
    </row>
    <row r="67" spans="1:7" x14ac:dyDescent="0.3">
      <c r="A67" s="7" t="s">
        <v>21</v>
      </c>
      <c r="B67" s="4"/>
      <c r="C67" s="4"/>
      <c r="D67" s="4"/>
      <c r="E67" s="4"/>
      <c r="F67" s="4"/>
      <c r="G67" s="4"/>
    </row>
    <row r="68" spans="1:7" x14ac:dyDescent="0.3">
      <c r="A68" s="8" t="s">
        <v>160</v>
      </c>
      <c r="B68" s="4">
        <v>78</v>
      </c>
      <c r="C68" s="4">
        <v>45</v>
      </c>
      <c r="D68" s="5">
        <v>0</v>
      </c>
      <c r="E68" s="4">
        <v>0</v>
      </c>
      <c r="F68" s="4">
        <v>173.33</v>
      </c>
      <c r="G68" s="4">
        <v>0</v>
      </c>
    </row>
    <row r="69" spans="1:7" x14ac:dyDescent="0.3">
      <c r="A69" s="8" t="s">
        <v>144</v>
      </c>
      <c r="B69" s="4">
        <v>5</v>
      </c>
      <c r="C69" s="4">
        <v>10</v>
      </c>
      <c r="D69" s="5">
        <v>0</v>
      </c>
      <c r="E69" s="4">
        <v>0</v>
      </c>
      <c r="F69" s="4">
        <v>50</v>
      </c>
      <c r="G69" s="4">
        <v>0</v>
      </c>
    </row>
    <row r="70" spans="1:7" x14ac:dyDescent="0.3">
      <c r="A70" s="8" t="s">
        <v>164</v>
      </c>
      <c r="B70" s="4">
        <v>40</v>
      </c>
      <c r="C70" s="4">
        <v>30</v>
      </c>
      <c r="D70" s="5">
        <v>0</v>
      </c>
      <c r="E70" s="4">
        <v>0</v>
      </c>
      <c r="F70" s="4">
        <v>133.33000000000001</v>
      </c>
      <c r="G70" s="4">
        <v>0</v>
      </c>
    </row>
    <row r="71" spans="1:7" x14ac:dyDescent="0.3">
      <c r="A71" s="8" t="s">
        <v>342</v>
      </c>
      <c r="B71" s="4">
        <v>155</v>
      </c>
      <c r="C71" s="4">
        <v>100</v>
      </c>
      <c r="D71" s="5">
        <v>0</v>
      </c>
      <c r="E71" s="4">
        <v>0</v>
      </c>
      <c r="F71" s="4">
        <v>464.29</v>
      </c>
      <c r="G71" s="4">
        <v>0</v>
      </c>
    </row>
    <row r="72" spans="1:7" x14ac:dyDescent="0.3">
      <c r="A72" s="3" t="s">
        <v>16</v>
      </c>
      <c r="B72" s="4"/>
      <c r="C72" s="4"/>
      <c r="D72" s="4"/>
      <c r="E72" s="4"/>
      <c r="F72" s="4"/>
      <c r="G72" s="4"/>
    </row>
    <row r="73" spans="1:7" x14ac:dyDescent="0.3">
      <c r="A73" s="7" t="s">
        <v>17</v>
      </c>
      <c r="B73" s="4"/>
      <c r="C73" s="4"/>
      <c r="D73" s="4"/>
      <c r="E73" s="4"/>
      <c r="F73" s="4"/>
      <c r="G73" s="4"/>
    </row>
    <row r="74" spans="1:7" x14ac:dyDescent="0.3">
      <c r="A74" s="8" t="s">
        <v>148</v>
      </c>
      <c r="B74" s="4">
        <v>0</v>
      </c>
      <c r="C74" s="4">
        <v>0</v>
      </c>
      <c r="D74" s="5">
        <v>1</v>
      </c>
      <c r="E74" s="4">
        <v>32</v>
      </c>
      <c r="F74" s="4">
        <v>0</v>
      </c>
      <c r="G74" s="4">
        <v>8</v>
      </c>
    </row>
    <row r="75" spans="1:7" x14ac:dyDescent="0.3">
      <c r="A75" s="8" t="s">
        <v>144</v>
      </c>
      <c r="B75" s="4">
        <v>0</v>
      </c>
      <c r="C75" s="4">
        <v>0</v>
      </c>
      <c r="D75" s="5">
        <v>5</v>
      </c>
      <c r="E75" s="4">
        <v>56</v>
      </c>
      <c r="F75" s="4">
        <v>0</v>
      </c>
      <c r="G75" s="4">
        <v>14</v>
      </c>
    </row>
    <row r="76" spans="1:7" x14ac:dyDescent="0.3">
      <c r="A76" s="8" t="s">
        <v>164</v>
      </c>
      <c r="B76" s="4">
        <v>0</v>
      </c>
      <c r="C76" s="4">
        <v>0</v>
      </c>
      <c r="D76" s="5">
        <v>3</v>
      </c>
      <c r="E76" s="4">
        <v>25</v>
      </c>
      <c r="F76" s="4">
        <v>0</v>
      </c>
      <c r="G76" s="4">
        <v>7.5</v>
      </c>
    </row>
    <row r="77" spans="1:7" x14ac:dyDescent="0.3">
      <c r="A77" s="8" t="s">
        <v>152</v>
      </c>
      <c r="B77" s="4">
        <v>0</v>
      </c>
      <c r="C77" s="4">
        <v>0</v>
      </c>
      <c r="D77" s="5">
        <v>3</v>
      </c>
      <c r="E77" s="4">
        <v>25</v>
      </c>
      <c r="F77" s="4">
        <v>0</v>
      </c>
      <c r="G77" s="4">
        <v>7.5</v>
      </c>
    </row>
    <row r="78" spans="1:7" x14ac:dyDescent="0.3">
      <c r="A78" s="8" t="s">
        <v>172</v>
      </c>
      <c r="B78" s="4">
        <v>0</v>
      </c>
      <c r="C78" s="4">
        <v>0</v>
      </c>
      <c r="D78" s="5">
        <v>2</v>
      </c>
      <c r="E78" s="4">
        <v>29</v>
      </c>
      <c r="F78" s="4">
        <v>0</v>
      </c>
      <c r="G78" s="4">
        <v>7.25</v>
      </c>
    </row>
    <row r="79" spans="1:7" x14ac:dyDescent="0.3">
      <c r="A79" s="8" t="s">
        <v>342</v>
      </c>
      <c r="B79" s="4">
        <v>0</v>
      </c>
      <c r="C79" s="4">
        <v>0</v>
      </c>
      <c r="D79" s="5">
        <v>11</v>
      </c>
      <c r="E79" s="4">
        <v>100</v>
      </c>
      <c r="F79" s="4">
        <v>0</v>
      </c>
      <c r="G79" s="4">
        <v>25</v>
      </c>
    </row>
    <row r="80" spans="1:7" x14ac:dyDescent="0.3">
      <c r="A80" s="3" t="s">
        <v>92</v>
      </c>
      <c r="B80" s="4"/>
      <c r="C80" s="4"/>
      <c r="D80" s="4"/>
      <c r="E80" s="4"/>
      <c r="F80" s="4"/>
      <c r="G80" s="4"/>
    </row>
    <row r="81" spans="1:7" x14ac:dyDescent="0.3">
      <c r="A81" s="7" t="s">
        <v>21</v>
      </c>
      <c r="B81" s="4"/>
      <c r="C81" s="4"/>
      <c r="D81" s="4"/>
      <c r="E81" s="4"/>
      <c r="F81" s="4"/>
      <c r="G81" s="4"/>
    </row>
    <row r="82" spans="1:7" x14ac:dyDescent="0.3">
      <c r="A82" s="8" t="s">
        <v>168</v>
      </c>
      <c r="B82" s="4">
        <v>12</v>
      </c>
      <c r="C82" s="4">
        <v>14</v>
      </c>
      <c r="D82" s="5">
        <v>0</v>
      </c>
      <c r="E82" s="4">
        <v>0</v>
      </c>
      <c r="F82" s="4">
        <v>85.71</v>
      </c>
      <c r="G82" s="4">
        <v>0</v>
      </c>
    </row>
    <row r="83" spans="1:7" x14ac:dyDescent="0.3">
      <c r="A83" s="8" t="s">
        <v>172</v>
      </c>
      <c r="B83" s="4">
        <v>70</v>
      </c>
      <c r="C83" s="4">
        <v>42</v>
      </c>
      <c r="D83" s="5">
        <v>0</v>
      </c>
      <c r="E83" s="4">
        <v>0</v>
      </c>
      <c r="F83" s="4">
        <v>166.67</v>
      </c>
      <c r="G83" s="4">
        <v>0</v>
      </c>
    </row>
    <row r="84" spans="1:7" x14ac:dyDescent="0.3">
      <c r="A84" s="3" t="s">
        <v>75</v>
      </c>
      <c r="B84" s="4"/>
      <c r="C84" s="4"/>
      <c r="D84" s="4"/>
      <c r="E84" s="4"/>
      <c r="F84" s="4"/>
      <c r="G84" s="4"/>
    </row>
    <row r="85" spans="1:7" x14ac:dyDescent="0.3">
      <c r="A85" s="7" t="s">
        <v>21</v>
      </c>
      <c r="B85" s="4"/>
      <c r="C85" s="4"/>
      <c r="D85" s="4"/>
      <c r="E85" s="4"/>
      <c r="F85" s="4"/>
      <c r="G85" s="4"/>
    </row>
    <row r="86" spans="1:7" x14ac:dyDescent="0.3">
      <c r="A86" s="8" t="s">
        <v>148</v>
      </c>
      <c r="B86" s="4">
        <v>40</v>
      </c>
      <c r="C86" s="4">
        <v>28</v>
      </c>
      <c r="D86" s="5">
        <v>0</v>
      </c>
      <c r="E86" s="4">
        <v>0</v>
      </c>
      <c r="F86" s="4">
        <v>142.86000000000001</v>
      </c>
      <c r="G86" s="4">
        <v>0</v>
      </c>
    </row>
    <row r="87" spans="1:7" x14ac:dyDescent="0.3">
      <c r="A87" s="8" t="s">
        <v>164</v>
      </c>
      <c r="B87" s="4">
        <v>167</v>
      </c>
      <c r="C87" s="4">
        <v>99</v>
      </c>
      <c r="D87" s="5">
        <v>0</v>
      </c>
      <c r="E87" s="4">
        <v>0</v>
      </c>
      <c r="F87" s="4">
        <v>335.38</v>
      </c>
      <c r="G87" s="4">
        <v>0</v>
      </c>
    </row>
    <row r="88" spans="1:7" x14ac:dyDescent="0.3">
      <c r="A88" s="8" t="s">
        <v>152</v>
      </c>
      <c r="B88" s="4">
        <v>65</v>
      </c>
      <c r="C88" s="4">
        <v>40</v>
      </c>
      <c r="D88" s="5">
        <v>0</v>
      </c>
      <c r="E88" s="4">
        <v>0</v>
      </c>
      <c r="F88" s="4">
        <v>162.5</v>
      </c>
      <c r="G88" s="4">
        <v>0</v>
      </c>
    </row>
    <row r="89" spans="1:7" x14ac:dyDescent="0.3">
      <c r="A89" s="8" t="s">
        <v>342</v>
      </c>
      <c r="B89" s="4">
        <v>325</v>
      </c>
      <c r="C89" s="4">
        <v>180</v>
      </c>
      <c r="D89" s="5">
        <v>0</v>
      </c>
      <c r="E89" s="4">
        <v>0</v>
      </c>
      <c r="F89" s="4">
        <v>716.03</v>
      </c>
      <c r="G89" s="4">
        <v>0</v>
      </c>
    </row>
    <row r="90" spans="1:7" x14ac:dyDescent="0.3">
      <c r="A90" s="3" t="s">
        <v>94</v>
      </c>
      <c r="B90" s="4"/>
      <c r="C90" s="4"/>
      <c r="D90" s="4"/>
      <c r="E90" s="4"/>
      <c r="F90" s="4"/>
      <c r="G90" s="4"/>
    </row>
    <row r="91" spans="1:7" x14ac:dyDescent="0.3">
      <c r="A91" s="7" t="s">
        <v>17</v>
      </c>
      <c r="B91" s="4"/>
      <c r="C91" s="4"/>
      <c r="D91" s="4"/>
      <c r="E91" s="4"/>
      <c r="F91" s="4"/>
      <c r="G91" s="4"/>
    </row>
    <row r="92" spans="1:7" x14ac:dyDescent="0.3">
      <c r="A92" s="8" t="s">
        <v>168</v>
      </c>
      <c r="B92" s="4">
        <v>0</v>
      </c>
      <c r="C92" s="4">
        <v>0</v>
      </c>
      <c r="D92" s="5">
        <v>3</v>
      </c>
      <c r="E92" s="4">
        <v>105</v>
      </c>
      <c r="F92" s="4">
        <v>0</v>
      </c>
      <c r="G92" s="4">
        <v>26.25</v>
      </c>
    </row>
    <row r="93" spans="1:7" x14ac:dyDescent="0.3">
      <c r="A93" s="8" t="s">
        <v>342</v>
      </c>
      <c r="B93" s="4">
        <v>0</v>
      </c>
      <c r="C93" s="4">
        <v>0</v>
      </c>
      <c r="D93" s="5">
        <v>3</v>
      </c>
      <c r="E93" s="4">
        <v>57</v>
      </c>
      <c r="F93" s="4">
        <v>0</v>
      </c>
      <c r="G93" s="4">
        <v>14.25</v>
      </c>
    </row>
    <row r="94" spans="1:7" x14ac:dyDescent="0.3">
      <c r="A94" s="3" t="s">
        <v>67</v>
      </c>
      <c r="B94" s="4"/>
      <c r="C94" s="4"/>
      <c r="D94" s="4"/>
      <c r="E94" s="4"/>
      <c r="F94" s="4"/>
      <c r="G94" s="4"/>
    </row>
    <row r="95" spans="1:7" x14ac:dyDescent="0.3">
      <c r="A95" s="7" t="s">
        <v>17</v>
      </c>
      <c r="B95" s="4"/>
      <c r="C95" s="4"/>
      <c r="D95" s="4"/>
      <c r="E95" s="4"/>
      <c r="F95" s="4"/>
      <c r="G95" s="4"/>
    </row>
    <row r="96" spans="1:7" x14ac:dyDescent="0.3">
      <c r="A96" s="8" t="s">
        <v>160</v>
      </c>
      <c r="B96" s="4">
        <v>0</v>
      </c>
      <c r="C96" s="4">
        <v>0</v>
      </c>
      <c r="D96" s="5">
        <v>1</v>
      </c>
      <c r="E96" s="4">
        <v>25</v>
      </c>
      <c r="F96" s="4">
        <v>0</v>
      </c>
      <c r="G96" s="4">
        <v>6.25</v>
      </c>
    </row>
    <row r="97" spans="1:7" x14ac:dyDescent="0.3">
      <c r="A97" s="8" t="s">
        <v>168</v>
      </c>
      <c r="B97" s="4">
        <v>0</v>
      </c>
      <c r="C97" s="4">
        <v>0</v>
      </c>
      <c r="D97" s="5">
        <v>2</v>
      </c>
      <c r="E97" s="4">
        <v>17</v>
      </c>
      <c r="F97" s="4">
        <v>0</v>
      </c>
      <c r="G97" s="4">
        <v>4.25</v>
      </c>
    </row>
    <row r="98" spans="1:7" x14ac:dyDescent="0.3">
      <c r="A98" s="8" t="s">
        <v>164</v>
      </c>
      <c r="B98" s="4">
        <v>0</v>
      </c>
      <c r="C98" s="4">
        <v>0</v>
      </c>
      <c r="D98" s="5">
        <v>2</v>
      </c>
      <c r="E98" s="4">
        <v>17</v>
      </c>
      <c r="F98" s="4">
        <v>0</v>
      </c>
      <c r="G98" s="4">
        <v>4.25</v>
      </c>
    </row>
    <row r="99" spans="1:7" x14ac:dyDescent="0.3">
      <c r="A99" s="8" t="s">
        <v>342</v>
      </c>
      <c r="B99" s="4">
        <v>0</v>
      </c>
      <c r="C99" s="4">
        <v>0</v>
      </c>
      <c r="D99" s="5">
        <v>5</v>
      </c>
      <c r="E99" s="4">
        <v>33</v>
      </c>
      <c r="F99" s="4">
        <v>0</v>
      </c>
      <c r="G99" s="4">
        <v>8.25</v>
      </c>
    </row>
    <row r="100" spans="1:7" x14ac:dyDescent="0.3">
      <c r="A100" s="3" t="s">
        <v>86</v>
      </c>
      <c r="B100" s="4"/>
      <c r="C100" s="4"/>
      <c r="D100" s="4"/>
      <c r="E100" s="4"/>
      <c r="F100" s="4"/>
      <c r="G100" s="4"/>
    </row>
    <row r="101" spans="1:7" x14ac:dyDescent="0.3">
      <c r="A101" s="7" t="s">
        <v>26</v>
      </c>
      <c r="B101" s="4"/>
      <c r="C101" s="4"/>
      <c r="D101" s="4"/>
      <c r="E101" s="4"/>
      <c r="F101" s="4"/>
      <c r="G101" s="4"/>
    </row>
    <row r="102" spans="1:7" x14ac:dyDescent="0.3">
      <c r="A102" s="8" t="s">
        <v>148</v>
      </c>
      <c r="B102" s="4">
        <v>35</v>
      </c>
      <c r="C102" s="4">
        <v>25</v>
      </c>
      <c r="D102" s="5">
        <v>0</v>
      </c>
      <c r="E102" s="4">
        <v>0</v>
      </c>
      <c r="F102" s="4">
        <v>140</v>
      </c>
      <c r="G102" s="4">
        <v>0</v>
      </c>
    </row>
    <row r="103" spans="1:7" x14ac:dyDescent="0.3">
      <c r="A103" s="8" t="s">
        <v>168</v>
      </c>
      <c r="B103" s="4">
        <v>125</v>
      </c>
      <c r="C103" s="4">
        <v>80</v>
      </c>
      <c r="D103" s="5">
        <v>0</v>
      </c>
      <c r="E103" s="4">
        <v>0</v>
      </c>
      <c r="F103" s="4">
        <v>309.52999999999997</v>
      </c>
      <c r="G103" s="4">
        <v>0</v>
      </c>
    </row>
    <row r="104" spans="1:7" x14ac:dyDescent="0.3">
      <c r="A104" s="8" t="s">
        <v>152</v>
      </c>
      <c r="B104" s="4">
        <v>75</v>
      </c>
      <c r="C104" s="4">
        <v>45</v>
      </c>
      <c r="D104" s="5">
        <v>0</v>
      </c>
      <c r="E104" s="4">
        <v>0</v>
      </c>
      <c r="F104" s="4">
        <v>166.67</v>
      </c>
      <c r="G104" s="4">
        <v>0</v>
      </c>
    </row>
    <row r="105" spans="1:7" x14ac:dyDescent="0.3">
      <c r="A105" s="8" t="s">
        <v>342</v>
      </c>
      <c r="B105" s="4">
        <v>110</v>
      </c>
      <c r="C105" s="4">
        <v>70</v>
      </c>
      <c r="D105" s="5">
        <v>0</v>
      </c>
      <c r="E105" s="4">
        <v>0</v>
      </c>
      <c r="F105" s="4">
        <v>312.5</v>
      </c>
      <c r="G105" s="4">
        <v>0</v>
      </c>
    </row>
    <row r="106" spans="1:7" x14ac:dyDescent="0.3">
      <c r="A106" s="3" t="s">
        <v>40</v>
      </c>
      <c r="B106" s="4"/>
      <c r="C106" s="4"/>
      <c r="D106" s="4"/>
      <c r="E106" s="4"/>
      <c r="F106" s="4"/>
      <c r="G106" s="4"/>
    </row>
    <row r="107" spans="1:7" x14ac:dyDescent="0.3">
      <c r="A107" s="7" t="s">
        <v>17</v>
      </c>
      <c r="B107" s="4"/>
      <c r="C107" s="4"/>
      <c r="D107" s="4"/>
      <c r="E107" s="4"/>
      <c r="F107" s="4"/>
      <c r="G107" s="4"/>
    </row>
    <row r="108" spans="1:7" x14ac:dyDescent="0.3">
      <c r="A108" s="8" t="s">
        <v>156</v>
      </c>
      <c r="B108" s="4">
        <v>0</v>
      </c>
      <c r="C108" s="4">
        <v>0</v>
      </c>
      <c r="D108" s="5">
        <v>3</v>
      </c>
      <c r="E108" s="4">
        <v>21</v>
      </c>
      <c r="F108" s="4">
        <v>0</v>
      </c>
      <c r="G108" s="4">
        <v>5.25</v>
      </c>
    </row>
    <row r="109" spans="1:7" x14ac:dyDescent="0.3">
      <c r="A109" s="3" t="s">
        <v>70</v>
      </c>
      <c r="B109" s="4"/>
      <c r="C109" s="4"/>
      <c r="D109" s="4"/>
      <c r="E109" s="4"/>
      <c r="F109" s="4"/>
      <c r="G109" s="4"/>
    </row>
    <row r="110" spans="1:7" x14ac:dyDescent="0.3">
      <c r="A110" s="7" t="s">
        <v>26</v>
      </c>
      <c r="B110" s="4"/>
      <c r="C110" s="4"/>
      <c r="D110" s="4"/>
      <c r="E110" s="4"/>
      <c r="F110" s="4"/>
      <c r="G110" s="4"/>
    </row>
    <row r="111" spans="1:7" x14ac:dyDescent="0.3">
      <c r="A111" s="8" t="s">
        <v>148</v>
      </c>
      <c r="B111" s="4">
        <v>45</v>
      </c>
      <c r="C111" s="4">
        <v>30</v>
      </c>
      <c r="D111" s="5">
        <v>1</v>
      </c>
      <c r="E111" s="4">
        <v>40</v>
      </c>
      <c r="F111" s="4">
        <v>150</v>
      </c>
      <c r="G111" s="4">
        <v>10</v>
      </c>
    </row>
    <row r="112" spans="1:7" x14ac:dyDescent="0.3">
      <c r="A112" s="8" t="s">
        <v>168</v>
      </c>
      <c r="B112" s="4">
        <v>50</v>
      </c>
      <c r="C112" s="4">
        <v>30</v>
      </c>
      <c r="D112" s="5">
        <v>0</v>
      </c>
      <c r="E112" s="4">
        <v>0</v>
      </c>
      <c r="F112" s="4">
        <v>166.67</v>
      </c>
      <c r="G112" s="4">
        <v>0</v>
      </c>
    </row>
    <row r="113" spans="1:7" x14ac:dyDescent="0.3">
      <c r="A113" s="8" t="s">
        <v>152</v>
      </c>
      <c r="B113" s="4">
        <v>0</v>
      </c>
      <c r="C113" s="4">
        <v>0</v>
      </c>
      <c r="D113" s="5">
        <v>1</v>
      </c>
      <c r="E113" s="4">
        <v>40</v>
      </c>
      <c r="F113" s="4">
        <v>0</v>
      </c>
      <c r="G113" s="4">
        <v>10</v>
      </c>
    </row>
    <row r="114" spans="1:7" x14ac:dyDescent="0.3">
      <c r="A114" s="8" t="s">
        <v>342</v>
      </c>
      <c r="B114" s="4">
        <v>115</v>
      </c>
      <c r="C114" s="4">
        <v>65</v>
      </c>
      <c r="D114" s="5">
        <v>0</v>
      </c>
      <c r="E114" s="4">
        <v>0</v>
      </c>
      <c r="F114" s="4">
        <v>354.76</v>
      </c>
      <c r="G114" s="4">
        <v>0</v>
      </c>
    </row>
    <row r="115" spans="1:7" x14ac:dyDescent="0.3">
      <c r="A115" s="3" t="s">
        <v>46</v>
      </c>
      <c r="B115" s="4"/>
      <c r="C115" s="4"/>
      <c r="D115" s="4"/>
      <c r="E115" s="4"/>
      <c r="F115" s="4"/>
      <c r="G115" s="4"/>
    </row>
    <row r="116" spans="1:7" x14ac:dyDescent="0.3">
      <c r="A116" s="7" t="s">
        <v>17</v>
      </c>
      <c r="B116" s="4"/>
      <c r="C116" s="4"/>
      <c r="D116" s="4"/>
      <c r="E116" s="4"/>
      <c r="F116" s="4"/>
      <c r="G116" s="4"/>
    </row>
    <row r="117" spans="1:7" x14ac:dyDescent="0.3">
      <c r="A117" s="8" t="s">
        <v>144</v>
      </c>
      <c r="B117" s="4">
        <v>0</v>
      </c>
      <c r="C117" s="4">
        <v>0</v>
      </c>
      <c r="D117" s="5">
        <v>3</v>
      </c>
      <c r="E117" s="4">
        <v>25</v>
      </c>
      <c r="F117" s="4">
        <v>0</v>
      </c>
      <c r="G117" s="4">
        <v>6.25</v>
      </c>
    </row>
    <row r="118" spans="1:7" x14ac:dyDescent="0.3">
      <c r="A118" s="8" t="s">
        <v>152</v>
      </c>
      <c r="B118" s="4">
        <v>25</v>
      </c>
      <c r="C118" s="4">
        <v>18</v>
      </c>
      <c r="D118" s="5">
        <v>1</v>
      </c>
      <c r="E118" s="4">
        <v>35</v>
      </c>
      <c r="F118" s="4">
        <v>138.88999999999999</v>
      </c>
      <c r="G118" s="4">
        <v>8.75</v>
      </c>
    </row>
    <row r="119" spans="1:7" x14ac:dyDescent="0.3">
      <c r="A119" s="8" t="s">
        <v>172</v>
      </c>
      <c r="B119" s="4">
        <v>0</v>
      </c>
      <c r="C119" s="4">
        <v>0</v>
      </c>
      <c r="D119" s="5">
        <v>1</v>
      </c>
      <c r="E119" s="4">
        <v>45</v>
      </c>
      <c r="F119" s="4">
        <v>0</v>
      </c>
      <c r="G119" s="4">
        <v>11.25</v>
      </c>
    </row>
    <row r="120" spans="1:7" x14ac:dyDescent="0.3">
      <c r="A120" s="8" t="s">
        <v>342</v>
      </c>
      <c r="B120" s="4">
        <v>0</v>
      </c>
      <c r="C120" s="4">
        <v>0</v>
      </c>
      <c r="D120" s="5">
        <v>4</v>
      </c>
      <c r="E120" s="4">
        <v>60</v>
      </c>
      <c r="F120" s="4">
        <v>0</v>
      </c>
      <c r="G120" s="4">
        <v>15</v>
      </c>
    </row>
    <row r="121" spans="1:7" x14ac:dyDescent="0.3">
      <c r="A121" s="3" t="s">
        <v>53</v>
      </c>
      <c r="B121" s="4"/>
      <c r="C121" s="4"/>
      <c r="D121" s="4"/>
      <c r="E121" s="4"/>
      <c r="F121" s="4"/>
      <c r="G121" s="4"/>
    </row>
    <row r="122" spans="1:7" x14ac:dyDescent="0.3">
      <c r="A122" s="7" t="s">
        <v>11</v>
      </c>
      <c r="B122" s="4"/>
      <c r="C122" s="4"/>
      <c r="D122" s="4"/>
      <c r="E122" s="4"/>
      <c r="F122" s="4"/>
      <c r="G122" s="4"/>
    </row>
    <row r="123" spans="1:7" x14ac:dyDescent="0.3">
      <c r="A123" s="8" t="s">
        <v>148</v>
      </c>
      <c r="B123" s="4">
        <v>85</v>
      </c>
      <c r="C123" s="4">
        <v>45</v>
      </c>
      <c r="D123" s="5">
        <v>0</v>
      </c>
      <c r="E123" s="4">
        <v>0</v>
      </c>
      <c r="F123" s="4">
        <v>188.89</v>
      </c>
      <c r="G123" s="4">
        <v>0</v>
      </c>
    </row>
    <row r="124" spans="1:7" x14ac:dyDescent="0.3">
      <c r="A124" s="8" t="s">
        <v>156</v>
      </c>
      <c r="B124" s="4">
        <v>147</v>
      </c>
      <c r="C124" s="4">
        <v>90</v>
      </c>
      <c r="D124" s="5">
        <v>0</v>
      </c>
      <c r="E124" s="4">
        <v>0</v>
      </c>
      <c r="F124" s="4">
        <v>556.70000000000005</v>
      </c>
      <c r="G124" s="4">
        <v>0</v>
      </c>
    </row>
    <row r="125" spans="1:7" x14ac:dyDescent="0.3">
      <c r="A125" s="8" t="s">
        <v>144</v>
      </c>
      <c r="B125" s="4">
        <v>35</v>
      </c>
      <c r="C125" s="4">
        <v>28</v>
      </c>
      <c r="D125" s="5">
        <v>0</v>
      </c>
      <c r="E125" s="4">
        <v>0</v>
      </c>
      <c r="F125" s="4">
        <v>125</v>
      </c>
      <c r="G125" s="4">
        <v>0</v>
      </c>
    </row>
    <row r="126" spans="1:7" x14ac:dyDescent="0.3">
      <c r="A126" s="8" t="s">
        <v>342</v>
      </c>
      <c r="B126" s="4">
        <v>115</v>
      </c>
      <c r="C126" s="4">
        <v>70</v>
      </c>
      <c r="D126" s="5">
        <v>0</v>
      </c>
      <c r="E126" s="4">
        <v>0</v>
      </c>
      <c r="F126" s="4">
        <v>329.17</v>
      </c>
      <c r="G126" s="4">
        <v>0</v>
      </c>
    </row>
    <row r="127" spans="1:7" x14ac:dyDescent="0.3">
      <c r="A127" s="3" t="s">
        <v>31</v>
      </c>
      <c r="B127" s="4"/>
      <c r="C127" s="4"/>
      <c r="D127" s="4"/>
      <c r="E127" s="4"/>
      <c r="F127" s="4"/>
      <c r="G127" s="4"/>
    </row>
    <row r="128" spans="1:7" x14ac:dyDescent="0.3">
      <c r="A128" s="7" t="s">
        <v>26</v>
      </c>
      <c r="B128" s="4"/>
      <c r="C128" s="4"/>
      <c r="D128" s="4"/>
      <c r="E128" s="4"/>
      <c r="F128" s="4"/>
      <c r="G128" s="4"/>
    </row>
    <row r="129" spans="1:7" x14ac:dyDescent="0.3">
      <c r="A129" s="8" t="s">
        <v>148</v>
      </c>
      <c r="B129" s="4">
        <v>171</v>
      </c>
      <c r="C129" s="4">
        <v>94</v>
      </c>
      <c r="D129" s="5">
        <v>0</v>
      </c>
      <c r="E129" s="4">
        <v>0</v>
      </c>
      <c r="F129" s="4">
        <v>545.83000000000004</v>
      </c>
      <c r="G129" s="4">
        <v>0</v>
      </c>
    </row>
    <row r="130" spans="1:7" x14ac:dyDescent="0.3">
      <c r="A130" s="8" t="s">
        <v>168</v>
      </c>
      <c r="B130" s="4">
        <v>20</v>
      </c>
      <c r="C130" s="4">
        <v>15</v>
      </c>
      <c r="D130" s="5">
        <v>0</v>
      </c>
      <c r="E130" s="4">
        <v>0</v>
      </c>
      <c r="F130" s="4">
        <v>133.33000000000001</v>
      </c>
      <c r="G130" s="4">
        <v>0</v>
      </c>
    </row>
    <row r="131" spans="1:7" x14ac:dyDescent="0.3">
      <c r="A131" s="8" t="s">
        <v>342</v>
      </c>
      <c r="B131" s="4">
        <v>300</v>
      </c>
      <c r="C131" s="4">
        <v>170</v>
      </c>
      <c r="D131" s="5">
        <v>0</v>
      </c>
      <c r="E131" s="4">
        <v>0</v>
      </c>
      <c r="F131" s="4">
        <v>704.21</v>
      </c>
      <c r="G131" s="4">
        <v>0</v>
      </c>
    </row>
    <row r="132" spans="1:7" x14ac:dyDescent="0.3">
      <c r="A132" s="3" t="s">
        <v>59</v>
      </c>
      <c r="B132" s="4"/>
      <c r="C132" s="4"/>
      <c r="D132" s="4"/>
      <c r="E132" s="4"/>
      <c r="F132" s="4"/>
      <c r="G132" s="4"/>
    </row>
    <row r="133" spans="1:7" x14ac:dyDescent="0.3">
      <c r="A133" s="7" t="s">
        <v>26</v>
      </c>
      <c r="B133" s="4"/>
      <c r="C133" s="4"/>
      <c r="D133" s="4"/>
      <c r="E133" s="4"/>
      <c r="F133" s="4"/>
      <c r="G133" s="4"/>
    </row>
    <row r="134" spans="1:7" x14ac:dyDescent="0.3">
      <c r="A134" s="8" t="s">
        <v>160</v>
      </c>
      <c r="B134" s="4">
        <v>18</v>
      </c>
      <c r="C134" s="4">
        <v>10</v>
      </c>
      <c r="D134" s="5">
        <v>2</v>
      </c>
      <c r="E134" s="4">
        <v>22</v>
      </c>
      <c r="F134" s="4">
        <v>180</v>
      </c>
      <c r="G134" s="4">
        <v>5.5</v>
      </c>
    </row>
    <row r="135" spans="1:7" x14ac:dyDescent="0.3">
      <c r="A135" s="8" t="s">
        <v>156</v>
      </c>
      <c r="B135" s="4">
        <v>15</v>
      </c>
      <c r="C135" s="4">
        <v>10</v>
      </c>
      <c r="D135" s="5">
        <v>1</v>
      </c>
      <c r="E135" s="4">
        <v>25</v>
      </c>
      <c r="F135" s="4">
        <v>150</v>
      </c>
      <c r="G135" s="4">
        <v>6.25</v>
      </c>
    </row>
    <row r="136" spans="1:7" x14ac:dyDescent="0.3">
      <c r="A136" s="8" t="s">
        <v>164</v>
      </c>
      <c r="B136" s="4">
        <v>18</v>
      </c>
      <c r="C136" s="4">
        <v>10</v>
      </c>
      <c r="D136" s="5">
        <v>2</v>
      </c>
      <c r="E136" s="4">
        <v>22</v>
      </c>
      <c r="F136" s="4">
        <v>180</v>
      </c>
      <c r="G136" s="4">
        <v>5.5</v>
      </c>
    </row>
    <row r="137" spans="1:7" x14ac:dyDescent="0.3">
      <c r="A137" s="8" t="s">
        <v>152</v>
      </c>
      <c r="B137" s="4">
        <v>10</v>
      </c>
      <c r="C137" s="4">
        <v>8</v>
      </c>
      <c r="D137" s="5">
        <v>1</v>
      </c>
      <c r="E137" s="4">
        <v>30</v>
      </c>
      <c r="F137" s="4">
        <v>125</v>
      </c>
      <c r="G137" s="4">
        <v>7.5</v>
      </c>
    </row>
    <row r="138" spans="1:7" x14ac:dyDescent="0.3">
      <c r="A138" s="8" t="s">
        <v>342</v>
      </c>
      <c r="B138" s="4">
        <v>110</v>
      </c>
      <c r="C138" s="4">
        <v>60</v>
      </c>
      <c r="D138" s="5">
        <v>10</v>
      </c>
      <c r="E138" s="4">
        <v>103</v>
      </c>
      <c r="F138" s="4">
        <v>741.67</v>
      </c>
      <c r="G138" s="4">
        <v>25.75</v>
      </c>
    </row>
    <row r="139" spans="1:7" x14ac:dyDescent="0.3">
      <c r="A139" s="3" t="s">
        <v>9</v>
      </c>
      <c r="B139" s="4"/>
      <c r="C139" s="4"/>
      <c r="D139" s="4"/>
      <c r="E139" s="4"/>
      <c r="F139" s="4"/>
      <c r="G139" s="4"/>
    </row>
    <row r="140" spans="1:7" x14ac:dyDescent="0.3">
      <c r="A140" s="7" t="s">
        <v>11</v>
      </c>
      <c r="B140" s="4"/>
      <c r="C140" s="4"/>
      <c r="D140" s="4"/>
      <c r="E140" s="4"/>
      <c r="F140" s="4"/>
      <c r="G140" s="4"/>
    </row>
    <row r="141" spans="1:7" x14ac:dyDescent="0.3">
      <c r="A141" s="8" t="s">
        <v>160</v>
      </c>
      <c r="B141" s="4">
        <v>88</v>
      </c>
      <c r="C141" s="4">
        <v>48</v>
      </c>
      <c r="D141" s="5">
        <v>0</v>
      </c>
      <c r="E141" s="4">
        <v>0</v>
      </c>
      <c r="F141" s="4">
        <v>183.33</v>
      </c>
      <c r="G141" s="4">
        <v>0</v>
      </c>
    </row>
    <row r="142" spans="1:7" x14ac:dyDescent="0.3">
      <c r="A142" s="8" t="s">
        <v>144</v>
      </c>
      <c r="B142" s="4">
        <v>88</v>
      </c>
      <c r="C142" s="4">
        <v>48</v>
      </c>
      <c r="D142" s="5">
        <v>0</v>
      </c>
      <c r="E142" s="4">
        <v>0</v>
      </c>
      <c r="F142" s="4">
        <v>183.33</v>
      </c>
      <c r="G142" s="4">
        <v>0</v>
      </c>
    </row>
    <row r="143" spans="1:7" x14ac:dyDescent="0.3">
      <c r="A143" s="8" t="s">
        <v>152</v>
      </c>
      <c r="B143" s="4">
        <v>65</v>
      </c>
      <c r="C143" s="4">
        <v>40</v>
      </c>
      <c r="D143" s="5">
        <v>0</v>
      </c>
      <c r="E143" s="4">
        <v>0</v>
      </c>
      <c r="F143" s="4">
        <v>162.5</v>
      </c>
      <c r="G143" s="4">
        <v>0</v>
      </c>
    </row>
    <row r="144" spans="1:7" x14ac:dyDescent="0.3">
      <c r="A144" s="8" t="s">
        <v>342</v>
      </c>
      <c r="B144" s="4">
        <v>145</v>
      </c>
      <c r="C144" s="4">
        <v>90</v>
      </c>
      <c r="D144" s="5">
        <v>0</v>
      </c>
      <c r="E144" s="4">
        <v>0</v>
      </c>
      <c r="F144" s="4">
        <v>322.23</v>
      </c>
      <c r="G144" s="4">
        <v>0</v>
      </c>
    </row>
    <row r="145" spans="1:7" x14ac:dyDescent="0.3">
      <c r="A145" s="3" t="s">
        <v>25</v>
      </c>
      <c r="B145" s="4"/>
      <c r="C145" s="4"/>
      <c r="D145" s="4"/>
      <c r="E145" s="4"/>
      <c r="F145" s="4"/>
      <c r="G145" s="4"/>
    </row>
    <row r="146" spans="1:7" x14ac:dyDescent="0.3">
      <c r="A146" s="7" t="s">
        <v>26</v>
      </c>
      <c r="B146" s="4"/>
      <c r="C146" s="4"/>
      <c r="D146" s="4"/>
      <c r="E146" s="4"/>
      <c r="F146" s="4"/>
      <c r="G146" s="4"/>
    </row>
    <row r="147" spans="1:7" x14ac:dyDescent="0.3">
      <c r="A147" s="8" t="s">
        <v>144</v>
      </c>
      <c r="B147" s="4">
        <v>82</v>
      </c>
      <c r="C147" s="4">
        <v>54</v>
      </c>
      <c r="D147" s="5">
        <v>0</v>
      </c>
      <c r="E147" s="4">
        <v>0</v>
      </c>
      <c r="F147" s="4">
        <v>287.22000000000003</v>
      </c>
      <c r="G147" s="4">
        <v>0</v>
      </c>
    </row>
    <row r="148" spans="1:7" x14ac:dyDescent="0.3">
      <c r="A148" s="8" t="s">
        <v>342</v>
      </c>
      <c r="B148" s="4">
        <v>50</v>
      </c>
      <c r="C148" s="4">
        <v>30</v>
      </c>
      <c r="D148" s="5">
        <v>0</v>
      </c>
      <c r="E148" s="4">
        <v>0</v>
      </c>
      <c r="F148" s="4">
        <v>166.67</v>
      </c>
      <c r="G148" s="4">
        <v>0</v>
      </c>
    </row>
    <row r="149" spans="1:7" x14ac:dyDescent="0.3">
      <c r="A149" s="3" t="s">
        <v>104</v>
      </c>
      <c r="B149" s="4"/>
      <c r="C149" s="4"/>
      <c r="D149" s="4"/>
      <c r="E149" s="4"/>
      <c r="F149" s="4"/>
      <c r="G149" s="4"/>
    </row>
    <row r="150" spans="1:7" x14ac:dyDescent="0.3">
      <c r="A150" s="7" t="s">
        <v>11</v>
      </c>
      <c r="B150" s="4"/>
      <c r="C150" s="4"/>
      <c r="D150" s="4"/>
      <c r="E150" s="4"/>
      <c r="F150" s="4"/>
      <c r="G150" s="4"/>
    </row>
    <row r="151" spans="1:7" x14ac:dyDescent="0.3">
      <c r="A151" s="8" t="s">
        <v>168</v>
      </c>
      <c r="B151" s="4">
        <v>90</v>
      </c>
      <c r="C151" s="4">
        <v>50</v>
      </c>
      <c r="D151" s="5">
        <v>0</v>
      </c>
      <c r="E151" s="4">
        <v>0</v>
      </c>
      <c r="F151" s="4">
        <v>180</v>
      </c>
      <c r="G151" s="4">
        <v>0</v>
      </c>
    </row>
    <row r="152" spans="1:7" x14ac:dyDescent="0.3">
      <c r="A152" s="8" t="s">
        <v>164</v>
      </c>
      <c r="B152" s="4">
        <v>35</v>
      </c>
      <c r="C152" s="4">
        <v>28</v>
      </c>
      <c r="D152" s="5">
        <v>0</v>
      </c>
      <c r="E152" s="4">
        <v>0</v>
      </c>
      <c r="F152" s="4">
        <v>125</v>
      </c>
      <c r="G152" s="4">
        <v>0</v>
      </c>
    </row>
    <row r="153" spans="1:7" x14ac:dyDescent="0.3">
      <c r="A153" s="8" t="s">
        <v>172</v>
      </c>
      <c r="B153" s="4">
        <v>190</v>
      </c>
      <c r="C153" s="4">
        <v>116</v>
      </c>
      <c r="D153" s="5">
        <v>0</v>
      </c>
      <c r="E153" s="4">
        <v>0</v>
      </c>
      <c r="F153" s="4">
        <v>327.58</v>
      </c>
      <c r="G153" s="4">
        <v>0</v>
      </c>
    </row>
    <row r="154" spans="1:7" x14ac:dyDescent="0.3">
      <c r="A154" s="8" t="s">
        <v>342</v>
      </c>
      <c r="B154" s="4">
        <v>235</v>
      </c>
      <c r="C154" s="4">
        <v>145</v>
      </c>
      <c r="D154" s="5">
        <v>0</v>
      </c>
      <c r="E154" s="4">
        <v>0</v>
      </c>
      <c r="F154" s="4">
        <v>648.1</v>
      </c>
      <c r="G154" s="4">
        <v>0</v>
      </c>
    </row>
    <row r="155" spans="1:7" x14ac:dyDescent="0.3">
      <c r="A155" s="3" t="s">
        <v>81</v>
      </c>
      <c r="B155" s="4"/>
      <c r="C155" s="4"/>
      <c r="D155" s="4"/>
      <c r="E155" s="4"/>
      <c r="F155" s="4"/>
      <c r="G155" s="4"/>
    </row>
    <row r="156" spans="1:7" x14ac:dyDescent="0.3">
      <c r="A156" s="7" t="s">
        <v>17</v>
      </c>
      <c r="B156" s="4"/>
      <c r="C156" s="4"/>
      <c r="D156" s="4"/>
      <c r="E156" s="4"/>
      <c r="F156" s="4"/>
      <c r="G156" s="4"/>
    </row>
    <row r="157" spans="1:7" x14ac:dyDescent="0.3">
      <c r="A157" s="8" t="s">
        <v>164</v>
      </c>
      <c r="B157" s="4">
        <v>0</v>
      </c>
      <c r="C157" s="4">
        <v>0</v>
      </c>
      <c r="D157" s="5">
        <v>4</v>
      </c>
      <c r="E157" s="4">
        <v>18</v>
      </c>
      <c r="F157" s="4">
        <v>0</v>
      </c>
      <c r="G157" s="4">
        <v>5.14</v>
      </c>
    </row>
    <row r="158" spans="1:7" x14ac:dyDescent="0.3">
      <c r="A158" s="8" t="s">
        <v>172</v>
      </c>
      <c r="B158" s="4">
        <v>0</v>
      </c>
      <c r="C158" s="4">
        <v>0</v>
      </c>
      <c r="D158" s="5">
        <v>1</v>
      </c>
      <c r="E158" s="4">
        <v>34</v>
      </c>
      <c r="F158" s="4">
        <v>0</v>
      </c>
      <c r="G158" s="4">
        <v>8.5</v>
      </c>
    </row>
    <row r="159" spans="1:7" x14ac:dyDescent="0.3">
      <c r="A159" s="8" t="s">
        <v>342</v>
      </c>
      <c r="B159" s="4">
        <v>0</v>
      </c>
      <c r="C159" s="4">
        <v>0</v>
      </c>
      <c r="D159" s="5">
        <v>8</v>
      </c>
      <c r="E159" s="4">
        <v>62</v>
      </c>
      <c r="F159" s="4">
        <v>0</v>
      </c>
      <c r="G159" s="4">
        <v>15.61</v>
      </c>
    </row>
    <row r="160" spans="1:7" x14ac:dyDescent="0.3">
      <c r="A160" s="3" t="s">
        <v>61</v>
      </c>
      <c r="B160" s="4"/>
      <c r="C160" s="4"/>
      <c r="D160" s="4"/>
      <c r="E160" s="4"/>
      <c r="F160" s="4"/>
      <c r="G160" s="4"/>
    </row>
    <row r="161" spans="1:7" x14ac:dyDescent="0.3">
      <c r="A161" s="7" t="s">
        <v>17</v>
      </c>
      <c r="B161" s="4"/>
      <c r="C161" s="4"/>
      <c r="D161" s="4"/>
      <c r="E161" s="4"/>
      <c r="F161" s="4"/>
      <c r="G161" s="4"/>
    </row>
    <row r="162" spans="1:7" x14ac:dyDescent="0.3">
      <c r="A162" s="8" t="s">
        <v>156</v>
      </c>
      <c r="B162" s="4">
        <v>0</v>
      </c>
      <c r="C162" s="4">
        <v>0</v>
      </c>
      <c r="D162" s="5">
        <v>4</v>
      </c>
      <c r="E162" s="4">
        <v>19</v>
      </c>
      <c r="F162" s="4">
        <v>0</v>
      </c>
      <c r="G162" s="4">
        <v>5.43</v>
      </c>
    </row>
    <row r="163" spans="1:7" x14ac:dyDescent="0.3">
      <c r="A163" s="8" t="s">
        <v>172</v>
      </c>
      <c r="B163" s="4">
        <v>0</v>
      </c>
      <c r="C163" s="4">
        <v>0</v>
      </c>
      <c r="D163" s="5">
        <v>4</v>
      </c>
      <c r="E163" s="4">
        <v>19</v>
      </c>
      <c r="F163" s="4">
        <v>0</v>
      </c>
      <c r="G163" s="4">
        <v>5.43</v>
      </c>
    </row>
    <row r="164" spans="1:7" x14ac:dyDescent="0.3">
      <c r="A164" s="8" t="s">
        <v>342</v>
      </c>
      <c r="B164" s="4">
        <v>0</v>
      </c>
      <c r="C164" s="4">
        <v>0</v>
      </c>
      <c r="D164" s="5">
        <v>7</v>
      </c>
      <c r="E164" s="4">
        <v>75</v>
      </c>
      <c r="F164" s="4">
        <v>0</v>
      </c>
      <c r="G164" s="4">
        <v>18.75</v>
      </c>
    </row>
    <row r="165" spans="1:7" x14ac:dyDescent="0.3">
      <c r="A165" s="3" t="s">
        <v>43</v>
      </c>
      <c r="B165" s="4"/>
      <c r="C165" s="4"/>
      <c r="D165" s="4"/>
      <c r="E165" s="4"/>
      <c r="F165" s="4"/>
      <c r="G165" s="4"/>
    </row>
    <row r="166" spans="1:7" x14ac:dyDescent="0.3">
      <c r="A166" s="7" t="s">
        <v>11</v>
      </c>
      <c r="B166" s="4"/>
      <c r="C166" s="4"/>
      <c r="D166" s="4"/>
      <c r="E166" s="4"/>
      <c r="F166" s="4"/>
      <c r="G166" s="4"/>
    </row>
    <row r="167" spans="1:7" x14ac:dyDescent="0.3">
      <c r="A167" s="8" t="s">
        <v>148</v>
      </c>
      <c r="B167" s="4">
        <v>257</v>
      </c>
      <c r="C167" s="4">
        <v>165</v>
      </c>
      <c r="D167" s="5">
        <v>0</v>
      </c>
      <c r="E167" s="4">
        <v>0</v>
      </c>
      <c r="F167" s="4">
        <v>464.45</v>
      </c>
      <c r="G167" s="4">
        <v>0</v>
      </c>
    </row>
    <row r="168" spans="1:7" x14ac:dyDescent="0.3">
      <c r="A168" s="8" t="s">
        <v>160</v>
      </c>
      <c r="B168" s="4">
        <v>5</v>
      </c>
      <c r="C168" s="4">
        <v>7</v>
      </c>
      <c r="D168" s="5">
        <v>0</v>
      </c>
      <c r="E168" s="4">
        <v>0</v>
      </c>
      <c r="F168" s="4">
        <v>71.430000000000007</v>
      </c>
      <c r="G168" s="4">
        <v>0</v>
      </c>
    </row>
    <row r="169" spans="1:7" x14ac:dyDescent="0.3">
      <c r="A169" s="8" t="s">
        <v>156</v>
      </c>
      <c r="B169" s="4">
        <v>40</v>
      </c>
      <c r="C169" s="4">
        <v>30</v>
      </c>
      <c r="D169" s="5">
        <v>0</v>
      </c>
      <c r="E169" s="4">
        <v>0</v>
      </c>
      <c r="F169" s="4">
        <v>133.33000000000001</v>
      </c>
      <c r="G169" s="4">
        <v>0</v>
      </c>
    </row>
    <row r="170" spans="1:7" x14ac:dyDescent="0.3">
      <c r="A170" s="8" t="s">
        <v>152</v>
      </c>
      <c r="B170" s="4">
        <v>230</v>
      </c>
      <c r="C170" s="4">
        <v>127</v>
      </c>
      <c r="D170" s="5">
        <v>0</v>
      </c>
      <c r="E170" s="4">
        <v>0</v>
      </c>
      <c r="F170" s="4">
        <v>446.43</v>
      </c>
      <c r="G170" s="4">
        <v>0</v>
      </c>
    </row>
    <row r="171" spans="1:7" x14ac:dyDescent="0.3">
      <c r="A171" s="8" t="s">
        <v>172</v>
      </c>
      <c r="B171" s="4">
        <v>40</v>
      </c>
      <c r="C171" s="4">
        <v>30</v>
      </c>
      <c r="D171" s="5">
        <v>0</v>
      </c>
      <c r="E171" s="4">
        <v>0</v>
      </c>
      <c r="F171" s="4">
        <v>133.33000000000001</v>
      </c>
      <c r="G171" s="4">
        <v>0</v>
      </c>
    </row>
    <row r="172" spans="1:7" x14ac:dyDescent="0.3">
      <c r="A172" s="8" t="s">
        <v>342</v>
      </c>
      <c r="B172" s="4">
        <v>410</v>
      </c>
      <c r="C172" s="4">
        <v>245</v>
      </c>
      <c r="D172" s="5">
        <v>0</v>
      </c>
      <c r="E172" s="4">
        <v>0</v>
      </c>
      <c r="F172" s="4">
        <v>1010.87</v>
      </c>
      <c r="G172" s="4">
        <v>0</v>
      </c>
    </row>
    <row r="173" spans="1:7" x14ac:dyDescent="0.3">
      <c r="A173" s="3" t="s">
        <v>84</v>
      </c>
      <c r="B173" s="4"/>
      <c r="C173" s="4"/>
      <c r="D173" s="4"/>
      <c r="E173" s="4"/>
      <c r="F173" s="4"/>
      <c r="G173" s="4"/>
    </row>
    <row r="174" spans="1:7" x14ac:dyDescent="0.3">
      <c r="A174" s="7" t="s">
        <v>11</v>
      </c>
      <c r="B174" s="4"/>
      <c r="C174" s="4"/>
      <c r="D174" s="4"/>
      <c r="E174" s="4"/>
      <c r="F174" s="4"/>
      <c r="G174" s="4"/>
    </row>
    <row r="175" spans="1:7" x14ac:dyDescent="0.3">
      <c r="A175" s="8" t="s">
        <v>160</v>
      </c>
      <c r="B175" s="4">
        <v>88</v>
      </c>
      <c r="C175" s="4">
        <v>52</v>
      </c>
      <c r="D175" s="5">
        <v>0</v>
      </c>
      <c r="E175" s="4">
        <v>0</v>
      </c>
      <c r="F175" s="4">
        <v>169.23</v>
      </c>
      <c r="G175" s="4">
        <v>0</v>
      </c>
    </row>
    <row r="176" spans="1:7" x14ac:dyDescent="0.3">
      <c r="A176" s="8" t="s">
        <v>168</v>
      </c>
      <c r="B176" s="4">
        <v>85</v>
      </c>
      <c r="C176" s="4">
        <v>55</v>
      </c>
      <c r="D176" s="5">
        <v>0</v>
      </c>
      <c r="E176" s="4">
        <v>0</v>
      </c>
      <c r="F176" s="4">
        <v>154.55000000000001</v>
      </c>
      <c r="G176" s="4">
        <v>0</v>
      </c>
    </row>
    <row r="177" spans="1:7" x14ac:dyDescent="0.3">
      <c r="A177" s="8" t="s">
        <v>164</v>
      </c>
      <c r="B177" s="4">
        <v>12</v>
      </c>
      <c r="C177" s="4">
        <v>14</v>
      </c>
      <c r="D177" s="5">
        <v>0</v>
      </c>
      <c r="E177" s="4">
        <v>0</v>
      </c>
      <c r="F177" s="4">
        <v>85.71</v>
      </c>
      <c r="G177" s="4">
        <v>0</v>
      </c>
    </row>
    <row r="178" spans="1:7" x14ac:dyDescent="0.3">
      <c r="A178" s="8" t="s">
        <v>152</v>
      </c>
      <c r="B178" s="4">
        <v>88</v>
      </c>
      <c r="C178" s="4">
        <v>52</v>
      </c>
      <c r="D178" s="5">
        <v>0</v>
      </c>
      <c r="E178" s="4">
        <v>0</v>
      </c>
      <c r="F178" s="4">
        <v>169.23</v>
      </c>
      <c r="G178" s="4">
        <v>0</v>
      </c>
    </row>
    <row r="179" spans="1:7" x14ac:dyDescent="0.3">
      <c r="A179" s="8" t="s">
        <v>342</v>
      </c>
      <c r="B179" s="4">
        <v>335</v>
      </c>
      <c r="C179" s="4">
        <v>195</v>
      </c>
      <c r="D179" s="5">
        <v>0</v>
      </c>
      <c r="E179" s="4">
        <v>0</v>
      </c>
      <c r="F179" s="4">
        <v>856.95</v>
      </c>
      <c r="G179" s="4">
        <v>0</v>
      </c>
    </row>
    <row r="180" spans="1:7" x14ac:dyDescent="0.3">
      <c r="A180" s="3" t="s">
        <v>79</v>
      </c>
      <c r="B180" s="4"/>
      <c r="C180" s="4"/>
      <c r="D180" s="4"/>
      <c r="E180" s="4"/>
      <c r="F180" s="4"/>
      <c r="G180" s="4"/>
    </row>
    <row r="181" spans="1:7" x14ac:dyDescent="0.3">
      <c r="A181" s="7" t="s">
        <v>17</v>
      </c>
      <c r="B181" s="4"/>
      <c r="C181" s="4"/>
      <c r="D181" s="4"/>
      <c r="E181" s="4"/>
      <c r="F181" s="4"/>
      <c r="G181" s="4"/>
    </row>
    <row r="182" spans="1:7" x14ac:dyDescent="0.3">
      <c r="A182" s="8" t="s">
        <v>160</v>
      </c>
      <c r="B182" s="4">
        <v>0</v>
      </c>
      <c r="C182" s="4">
        <v>0</v>
      </c>
      <c r="D182" s="5">
        <v>2</v>
      </c>
      <c r="E182" s="4">
        <v>60</v>
      </c>
      <c r="F182" s="4">
        <v>0</v>
      </c>
      <c r="G182" s="4">
        <v>15</v>
      </c>
    </row>
    <row r="183" spans="1:7" x14ac:dyDescent="0.3">
      <c r="A183" s="8" t="s">
        <v>156</v>
      </c>
      <c r="B183" s="4">
        <v>0</v>
      </c>
      <c r="C183" s="4">
        <v>0</v>
      </c>
      <c r="D183" s="5">
        <v>1</v>
      </c>
      <c r="E183" s="4">
        <v>40</v>
      </c>
      <c r="F183" s="4">
        <v>0</v>
      </c>
      <c r="G183" s="4">
        <v>10</v>
      </c>
    </row>
    <row r="184" spans="1:7" x14ac:dyDescent="0.3">
      <c r="A184" s="8" t="s">
        <v>144</v>
      </c>
      <c r="B184" s="4">
        <v>0</v>
      </c>
      <c r="C184" s="4">
        <v>0</v>
      </c>
      <c r="D184" s="5">
        <v>1</v>
      </c>
      <c r="E184" s="4">
        <v>30</v>
      </c>
      <c r="F184" s="4">
        <v>0</v>
      </c>
      <c r="G184" s="4">
        <v>7.5</v>
      </c>
    </row>
    <row r="185" spans="1:7" x14ac:dyDescent="0.3">
      <c r="A185" s="8" t="s">
        <v>164</v>
      </c>
      <c r="B185" s="4">
        <v>0</v>
      </c>
      <c r="C185" s="4">
        <v>0</v>
      </c>
      <c r="D185" s="5">
        <v>3</v>
      </c>
      <c r="E185" s="4">
        <v>20</v>
      </c>
      <c r="F185" s="4">
        <v>0</v>
      </c>
      <c r="G185" s="4">
        <v>5</v>
      </c>
    </row>
    <row r="186" spans="1:7" x14ac:dyDescent="0.3">
      <c r="A186" s="8" t="s">
        <v>342</v>
      </c>
      <c r="B186" s="4">
        <v>0</v>
      </c>
      <c r="C186" s="4">
        <v>0</v>
      </c>
      <c r="D186" s="5">
        <v>2</v>
      </c>
      <c r="E186" s="4">
        <v>30</v>
      </c>
      <c r="F186" s="4">
        <v>0</v>
      </c>
      <c r="G186" s="4">
        <v>7.5</v>
      </c>
    </row>
    <row r="187" spans="1:7" x14ac:dyDescent="0.3">
      <c r="A187" s="3" t="s">
        <v>338</v>
      </c>
      <c r="B187" s="4">
        <v>7463</v>
      </c>
      <c r="C187" s="4">
        <v>4497</v>
      </c>
      <c r="D187" s="5">
        <v>178</v>
      </c>
      <c r="E187" s="4">
        <v>2435</v>
      </c>
      <c r="F187" s="4">
        <v>21448.25</v>
      </c>
      <c r="G187" s="4">
        <v>613.36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6F35B-C89B-4A07-9890-DC6E02C71A07}">
  <sheetPr codeName="Sheet2"/>
  <dimension ref="A3:L56"/>
  <sheetViews>
    <sheetView zoomScale="93" zoomScaleNormal="70" workbookViewId="0">
      <selection activeCell="Z234" sqref="Z233:Z234"/>
    </sheetView>
  </sheetViews>
  <sheetFormatPr defaultRowHeight="14.4" x14ac:dyDescent="0.3"/>
  <cols>
    <col min="1" max="1" width="29.77734375" bestFit="1" customWidth="1"/>
    <col min="2" max="2" width="13" bestFit="1" customWidth="1"/>
    <col min="3" max="3" width="9.88671875" bestFit="1" customWidth="1"/>
    <col min="4" max="4" width="12.33203125" bestFit="1" customWidth="1"/>
    <col min="5" max="5" width="11.21875" bestFit="1" customWidth="1"/>
    <col min="6" max="6" width="10.21875" bestFit="1" customWidth="1"/>
    <col min="11" max="11" width="13.44140625" bestFit="1" customWidth="1"/>
    <col min="12" max="12" width="9.88671875" bestFit="1" customWidth="1"/>
    <col min="13" max="13" width="16" bestFit="1" customWidth="1"/>
  </cols>
  <sheetData>
    <row r="3" spans="1:12" x14ac:dyDescent="0.3">
      <c r="A3" s="2" t="s">
        <v>352</v>
      </c>
      <c r="B3" t="s">
        <v>349</v>
      </c>
      <c r="C3" t="s">
        <v>339</v>
      </c>
      <c r="D3" t="s">
        <v>340</v>
      </c>
      <c r="E3" t="s">
        <v>363</v>
      </c>
      <c r="F3" t="s">
        <v>341</v>
      </c>
      <c r="K3" s="2" t="s">
        <v>357</v>
      </c>
      <c r="L3" t="s">
        <v>339</v>
      </c>
    </row>
    <row r="4" spans="1:12" x14ac:dyDescent="0.3">
      <c r="A4" s="3" t="s">
        <v>148</v>
      </c>
      <c r="B4" s="4">
        <v>8</v>
      </c>
      <c r="C4" s="5">
        <v>2869</v>
      </c>
      <c r="D4" s="5">
        <v>103</v>
      </c>
      <c r="E4" s="4">
        <v>1</v>
      </c>
      <c r="F4" s="5">
        <v>5</v>
      </c>
      <c r="K4" s="3" t="s">
        <v>350</v>
      </c>
      <c r="L4" s="4">
        <v>13297</v>
      </c>
    </row>
    <row r="5" spans="1:12" x14ac:dyDescent="0.3">
      <c r="A5" s="3" t="s">
        <v>160</v>
      </c>
      <c r="B5" s="4">
        <v>7</v>
      </c>
      <c r="C5" s="5">
        <v>2420</v>
      </c>
      <c r="D5" s="5">
        <v>85</v>
      </c>
      <c r="E5" s="4">
        <v>1</v>
      </c>
      <c r="F5" s="5">
        <v>2</v>
      </c>
      <c r="K5" s="3" t="s">
        <v>351</v>
      </c>
      <c r="L5" s="4">
        <v>7647</v>
      </c>
    </row>
    <row r="6" spans="1:12" x14ac:dyDescent="0.3">
      <c r="A6" s="3" t="s">
        <v>156</v>
      </c>
      <c r="B6" s="4">
        <v>8</v>
      </c>
      <c r="C6" s="5">
        <v>2788</v>
      </c>
      <c r="D6" s="5">
        <v>107</v>
      </c>
      <c r="E6" s="4">
        <v>1</v>
      </c>
      <c r="F6" s="5">
        <v>4</v>
      </c>
      <c r="K6" s="3" t="s">
        <v>338</v>
      </c>
      <c r="L6" s="4">
        <v>20944</v>
      </c>
    </row>
    <row r="7" spans="1:12" x14ac:dyDescent="0.3">
      <c r="A7" s="3" t="s">
        <v>144</v>
      </c>
      <c r="B7" s="4">
        <v>8</v>
      </c>
      <c r="C7" s="5">
        <v>2735</v>
      </c>
      <c r="D7" s="5">
        <v>110</v>
      </c>
      <c r="E7" s="4">
        <v>1</v>
      </c>
      <c r="F7" s="5">
        <v>4</v>
      </c>
    </row>
    <row r="8" spans="1:12" x14ac:dyDescent="0.3">
      <c r="A8" s="3" t="s">
        <v>168</v>
      </c>
      <c r="B8" s="4">
        <v>7</v>
      </c>
      <c r="C8" s="5">
        <v>2458</v>
      </c>
      <c r="D8" s="5">
        <v>89</v>
      </c>
      <c r="E8" s="4">
        <v>1</v>
      </c>
      <c r="F8" s="5">
        <v>2</v>
      </c>
    </row>
    <row r="9" spans="1:12" x14ac:dyDescent="0.3">
      <c r="A9" s="3" t="s">
        <v>164</v>
      </c>
      <c r="B9" s="4">
        <v>7</v>
      </c>
      <c r="C9" s="5">
        <v>2318</v>
      </c>
      <c r="D9" s="5">
        <v>105</v>
      </c>
      <c r="E9" s="4">
        <v>1</v>
      </c>
      <c r="F9" s="5">
        <v>4</v>
      </c>
    </row>
    <row r="10" spans="1:12" x14ac:dyDescent="0.3">
      <c r="A10" s="3" t="s">
        <v>152</v>
      </c>
      <c r="B10" s="4">
        <v>7</v>
      </c>
      <c r="C10" s="5">
        <v>2600</v>
      </c>
      <c r="D10" s="5">
        <v>88</v>
      </c>
      <c r="E10" s="4">
        <v>1</v>
      </c>
      <c r="F10" s="5">
        <v>4</v>
      </c>
    </row>
    <row r="11" spans="1:12" x14ac:dyDescent="0.3">
      <c r="A11" s="3" t="s">
        <v>172</v>
      </c>
      <c r="B11" s="4">
        <v>8</v>
      </c>
      <c r="C11" s="5">
        <v>2756</v>
      </c>
      <c r="D11" s="5">
        <v>112</v>
      </c>
      <c r="E11" s="4">
        <v>1</v>
      </c>
      <c r="F11" s="5">
        <v>5</v>
      </c>
    </row>
    <row r="12" spans="1:12" x14ac:dyDescent="0.3">
      <c r="A12" s="3" t="s">
        <v>342</v>
      </c>
      <c r="B12" s="4"/>
      <c r="C12" s="5"/>
      <c r="D12" s="5"/>
      <c r="E12" s="4"/>
      <c r="F12" s="5">
        <v>0</v>
      </c>
    </row>
    <row r="13" spans="1:12" x14ac:dyDescent="0.3">
      <c r="A13" s="3" t="s">
        <v>338</v>
      </c>
      <c r="B13" s="4">
        <v>60</v>
      </c>
      <c r="C13" s="5">
        <v>20944</v>
      </c>
      <c r="D13" s="5">
        <v>799</v>
      </c>
      <c r="E13" s="4">
        <v>8</v>
      </c>
      <c r="F13" s="5">
        <v>0</v>
      </c>
    </row>
    <row r="15" spans="1:12" x14ac:dyDescent="0.3">
      <c r="A15" s="2" t="s">
        <v>352</v>
      </c>
      <c r="B15" t="s">
        <v>341</v>
      </c>
    </row>
    <row r="16" spans="1:12" x14ac:dyDescent="0.3">
      <c r="A16" s="3" t="s">
        <v>148</v>
      </c>
      <c r="B16" s="5">
        <v>5</v>
      </c>
    </row>
    <row r="17" spans="1:2" x14ac:dyDescent="0.3">
      <c r="A17" s="3" t="s">
        <v>160</v>
      </c>
      <c r="B17" s="5">
        <v>2</v>
      </c>
    </row>
    <row r="18" spans="1:2" x14ac:dyDescent="0.3">
      <c r="A18" s="3" t="s">
        <v>156</v>
      </c>
      <c r="B18" s="5">
        <v>4</v>
      </c>
    </row>
    <row r="19" spans="1:2" x14ac:dyDescent="0.3">
      <c r="A19" s="3" t="s">
        <v>144</v>
      </c>
      <c r="B19" s="5">
        <v>4</v>
      </c>
    </row>
    <row r="20" spans="1:2" x14ac:dyDescent="0.3">
      <c r="A20" s="3" t="s">
        <v>168</v>
      </c>
      <c r="B20" s="5">
        <v>2</v>
      </c>
    </row>
    <row r="21" spans="1:2" x14ac:dyDescent="0.3">
      <c r="A21" s="3" t="s">
        <v>164</v>
      </c>
      <c r="B21" s="5">
        <v>4</v>
      </c>
    </row>
    <row r="22" spans="1:2" x14ac:dyDescent="0.3">
      <c r="A22" s="3" t="s">
        <v>152</v>
      </c>
      <c r="B22" s="5">
        <v>4</v>
      </c>
    </row>
    <row r="23" spans="1:2" x14ac:dyDescent="0.3">
      <c r="A23" s="3" t="s">
        <v>172</v>
      </c>
      <c r="B23" s="5">
        <v>5</v>
      </c>
    </row>
    <row r="24" spans="1:2" x14ac:dyDescent="0.3">
      <c r="A24" s="3" t="s">
        <v>342</v>
      </c>
      <c r="B24" s="5">
        <v>0</v>
      </c>
    </row>
    <row r="25" spans="1:2" x14ac:dyDescent="0.3">
      <c r="A25" s="3" t="s">
        <v>338</v>
      </c>
      <c r="B25" s="5">
        <v>0</v>
      </c>
    </row>
    <row r="28" spans="1:2" x14ac:dyDescent="0.3">
      <c r="A28" s="2" t="s">
        <v>360</v>
      </c>
      <c r="B28" t="s">
        <v>339</v>
      </c>
    </row>
    <row r="29" spans="1:2" x14ac:dyDescent="0.3">
      <c r="A29" s="3" t="s">
        <v>148</v>
      </c>
      <c r="B29" s="5">
        <v>2869</v>
      </c>
    </row>
    <row r="30" spans="1:2" x14ac:dyDescent="0.3">
      <c r="A30" s="3" t="s">
        <v>160</v>
      </c>
      <c r="B30" s="5">
        <v>2420</v>
      </c>
    </row>
    <row r="31" spans="1:2" x14ac:dyDescent="0.3">
      <c r="A31" s="3" t="s">
        <v>156</v>
      </c>
      <c r="B31" s="5">
        <v>2788</v>
      </c>
    </row>
    <row r="32" spans="1:2" x14ac:dyDescent="0.3">
      <c r="A32" s="3" t="s">
        <v>144</v>
      </c>
      <c r="B32" s="5">
        <v>2735</v>
      </c>
    </row>
    <row r="33" spans="1:2" x14ac:dyDescent="0.3">
      <c r="A33" s="3" t="s">
        <v>168</v>
      </c>
      <c r="B33" s="5">
        <v>2458</v>
      </c>
    </row>
    <row r="34" spans="1:2" x14ac:dyDescent="0.3">
      <c r="A34" s="3" t="s">
        <v>164</v>
      </c>
      <c r="B34" s="5">
        <v>2318</v>
      </c>
    </row>
    <row r="35" spans="1:2" x14ac:dyDescent="0.3">
      <c r="A35" s="3" t="s">
        <v>152</v>
      </c>
      <c r="B35" s="5">
        <v>2600</v>
      </c>
    </row>
    <row r="36" spans="1:2" x14ac:dyDescent="0.3">
      <c r="A36" s="3" t="s">
        <v>172</v>
      </c>
      <c r="B36" s="5">
        <v>2756</v>
      </c>
    </row>
    <row r="37" spans="1:2" x14ac:dyDescent="0.3">
      <c r="A37" s="3" t="s">
        <v>338</v>
      </c>
      <c r="B37" s="5">
        <v>20944</v>
      </c>
    </row>
    <row r="44" spans="1:2" x14ac:dyDescent="0.3">
      <c r="A44" s="2" t="s">
        <v>359</v>
      </c>
      <c r="B44" t="s">
        <v>358</v>
      </c>
    </row>
    <row r="45" spans="1:2" x14ac:dyDescent="0.3">
      <c r="A45" s="3" t="s">
        <v>122</v>
      </c>
      <c r="B45" s="4">
        <v>8</v>
      </c>
    </row>
    <row r="46" spans="1:2" x14ac:dyDescent="0.3">
      <c r="A46" s="3" t="s">
        <v>137</v>
      </c>
      <c r="B46" s="4">
        <v>8</v>
      </c>
    </row>
    <row r="47" spans="1:2" x14ac:dyDescent="0.3">
      <c r="A47" s="3" t="s">
        <v>119</v>
      </c>
      <c r="B47" s="4">
        <v>8</v>
      </c>
    </row>
    <row r="48" spans="1:2" x14ac:dyDescent="0.3">
      <c r="A48" s="3" t="s">
        <v>113</v>
      </c>
      <c r="B48" s="4">
        <v>8</v>
      </c>
    </row>
    <row r="49" spans="1:2" x14ac:dyDescent="0.3">
      <c r="A49" s="3" t="s">
        <v>116</v>
      </c>
      <c r="B49" s="4">
        <v>8</v>
      </c>
    </row>
    <row r="50" spans="1:2" x14ac:dyDescent="0.3">
      <c r="A50" s="3" t="s">
        <v>128</v>
      </c>
      <c r="B50" s="4">
        <v>8</v>
      </c>
    </row>
    <row r="51" spans="1:2" x14ac:dyDescent="0.3">
      <c r="A51" s="3" t="s">
        <v>134</v>
      </c>
      <c r="B51" s="4">
        <v>8</v>
      </c>
    </row>
    <row r="52" spans="1:2" x14ac:dyDescent="0.3">
      <c r="A52" s="3" t="s">
        <v>131</v>
      </c>
      <c r="B52" s="4">
        <v>8</v>
      </c>
    </row>
    <row r="53" spans="1:2" x14ac:dyDescent="0.3">
      <c r="A53" s="3" t="s">
        <v>125</v>
      </c>
      <c r="B53" s="4">
        <v>8</v>
      </c>
    </row>
    <row r="54" spans="1:2" x14ac:dyDescent="0.3">
      <c r="A54" s="3" t="s">
        <v>110</v>
      </c>
      <c r="B54" s="4">
        <v>8</v>
      </c>
    </row>
    <row r="55" spans="1:2" x14ac:dyDescent="0.3">
      <c r="A55" s="3" t="s">
        <v>342</v>
      </c>
      <c r="B55" s="4">
        <v>8</v>
      </c>
    </row>
    <row r="56" spans="1:2" x14ac:dyDescent="0.3">
      <c r="A56" s="3" t="s">
        <v>338</v>
      </c>
      <c r="B56" s="4">
        <v>8</v>
      </c>
    </row>
  </sheetData>
  <pageMargins left="0.7" right="0.7" top="0.75" bottom="0.75" header="0.3" footer="0.3"/>
  <pageSetup orientation="portrait" r:id="rId6"/>
  <drawing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09BA6-D579-425E-9A58-3F86AB7F66CB}">
  <dimension ref="A1:X15"/>
  <sheetViews>
    <sheetView tabSelected="1" zoomScale="70" zoomScaleNormal="70" workbookViewId="0">
      <selection activeCell="AL22" sqref="AL22"/>
    </sheetView>
  </sheetViews>
  <sheetFormatPr defaultRowHeight="14.4" x14ac:dyDescent="0.3"/>
  <cols>
    <col min="21" max="21" width="15.21875" bestFit="1" customWidth="1"/>
  </cols>
  <sheetData>
    <row r="1" spans="1:24" x14ac:dyDescent="0.3">
      <c r="A1" s="6"/>
      <c r="B1" s="6"/>
      <c r="C1" s="6"/>
      <c r="D1" s="6"/>
      <c r="E1" s="6"/>
      <c r="F1" s="6"/>
      <c r="G1" s="6"/>
      <c r="H1" s="6"/>
      <c r="I1" s="6"/>
      <c r="J1" s="6"/>
      <c r="K1" s="6"/>
      <c r="L1" s="6"/>
      <c r="M1" s="6"/>
      <c r="N1" s="6"/>
      <c r="O1" s="6"/>
      <c r="P1" s="6"/>
      <c r="Q1" s="6"/>
      <c r="R1" s="6"/>
      <c r="S1" s="6"/>
      <c r="T1" s="6"/>
      <c r="U1" s="6"/>
      <c r="V1" s="6"/>
      <c r="W1" s="6"/>
      <c r="X1" s="6"/>
    </row>
    <row r="2" spans="1:24" x14ac:dyDescent="0.3">
      <c r="A2" s="6"/>
      <c r="B2" s="6"/>
      <c r="C2" s="6"/>
      <c r="D2" s="6"/>
      <c r="E2" s="6"/>
      <c r="F2" s="6"/>
      <c r="G2" s="6"/>
      <c r="H2" s="6"/>
      <c r="I2" s="6"/>
      <c r="J2" s="6"/>
      <c r="K2" s="6"/>
      <c r="L2" s="6"/>
      <c r="M2" s="6"/>
      <c r="N2" s="6"/>
      <c r="O2" s="6"/>
      <c r="P2" s="6"/>
      <c r="Q2" s="6"/>
      <c r="R2" s="6"/>
      <c r="S2" s="6"/>
      <c r="T2" s="6"/>
      <c r="U2" s="6"/>
      <c r="V2" s="6"/>
      <c r="W2" s="6"/>
      <c r="X2" s="6"/>
    </row>
    <row r="3" spans="1:24" ht="14.4" customHeight="1" x14ac:dyDescent="0.3">
      <c r="A3" s="6"/>
      <c r="B3" s="6"/>
      <c r="C3" s="6"/>
      <c r="D3" s="6"/>
      <c r="E3" s="6"/>
      <c r="F3" s="6"/>
      <c r="G3" s="6"/>
      <c r="H3" s="6"/>
      <c r="I3" s="13" t="s">
        <v>361</v>
      </c>
      <c r="J3" s="12"/>
      <c r="K3" s="14"/>
      <c r="L3" s="6"/>
      <c r="M3" s="9" t="s">
        <v>362</v>
      </c>
      <c r="N3" s="9"/>
      <c r="O3" s="9"/>
      <c r="P3" s="6"/>
      <c r="Q3" s="9" t="s">
        <v>364</v>
      </c>
      <c r="R3" s="9"/>
      <c r="S3" s="9"/>
      <c r="T3" s="6"/>
      <c r="U3" s="9" t="s">
        <v>365</v>
      </c>
      <c r="V3" s="9"/>
      <c r="W3" s="9"/>
      <c r="X3" s="6"/>
    </row>
    <row r="4" spans="1:24" ht="14.4" customHeight="1" x14ac:dyDescent="0.3">
      <c r="A4" s="6"/>
      <c r="B4" s="6"/>
      <c r="C4" s="6"/>
      <c r="D4" s="6"/>
      <c r="E4" s="6"/>
      <c r="F4" s="6"/>
      <c r="G4" s="6"/>
      <c r="H4" s="6"/>
      <c r="I4" s="15"/>
      <c r="J4" s="16"/>
      <c r="K4" s="17"/>
      <c r="L4" s="6"/>
      <c r="M4" s="9"/>
      <c r="N4" s="9"/>
      <c r="O4" s="9"/>
      <c r="P4" s="6"/>
      <c r="Q4" s="9"/>
      <c r="R4" s="9"/>
      <c r="S4" s="9"/>
      <c r="T4" s="6"/>
      <c r="U4" s="9"/>
      <c r="V4" s="9"/>
      <c r="W4" s="9"/>
      <c r="X4" s="6"/>
    </row>
    <row r="5" spans="1:24" ht="14.4" customHeight="1" x14ac:dyDescent="0.3">
      <c r="A5" s="6"/>
      <c r="B5" s="6"/>
      <c r="C5" s="6"/>
      <c r="D5" s="6"/>
      <c r="E5" s="6"/>
      <c r="F5" s="6"/>
      <c r="G5" s="6"/>
      <c r="H5" s="6"/>
      <c r="I5" s="10">
        <f>(GETPIVOTDATA("[Measures].[Count of Match_ID]",Team_Summary!$A$3))</f>
        <v>60</v>
      </c>
      <c r="J5" s="10"/>
      <c r="K5" s="10"/>
      <c r="L5" s="18"/>
      <c r="M5" s="10">
        <f>GETPIVOTDATA("[Measures].[Total Teams]",Team_Summary!$A$3)</f>
        <v>8</v>
      </c>
      <c r="N5" s="10"/>
      <c r="O5" s="10"/>
      <c r="P5" s="6"/>
      <c r="Q5" s="10">
        <f>GETPIVOTDATA("[Measures].[Total Runs]",Team_Summary!$A$3)</f>
        <v>20944</v>
      </c>
      <c r="R5" s="10"/>
      <c r="S5" s="10"/>
      <c r="T5" s="6"/>
      <c r="U5" s="10">
        <f>GETPIVOTDATA("[Measures].[Total Wickets]",Team_Summary!$A$3)</f>
        <v>799</v>
      </c>
      <c r="V5" s="10"/>
      <c r="W5" s="10"/>
      <c r="X5" s="6"/>
    </row>
    <row r="6" spans="1:24" ht="14.4" customHeight="1" x14ac:dyDescent="0.3">
      <c r="A6" s="6"/>
      <c r="B6" s="6"/>
      <c r="C6" s="6"/>
      <c r="D6" s="6"/>
      <c r="E6" s="6"/>
      <c r="F6" s="6"/>
      <c r="G6" s="6"/>
      <c r="H6" s="6"/>
      <c r="I6" s="11"/>
      <c r="J6" s="11"/>
      <c r="K6" s="11"/>
      <c r="L6" s="18"/>
      <c r="M6" s="11"/>
      <c r="N6" s="11"/>
      <c r="O6" s="11"/>
      <c r="P6" s="6"/>
      <c r="Q6" s="11"/>
      <c r="R6" s="11"/>
      <c r="S6" s="11"/>
      <c r="T6" s="6"/>
      <c r="U6" s="11"/>
      <c r="V6" s="11"/>
      <c r="W6" s="11"/>
      <c r="X6" s="6"/>
    </row>
    <row r="7" spans="1:24" ht="14.4" customHeight="1" x14ac:dyDescent="0.3">
      <c r="A7" s="6"/>
      <c r="B7" s="6"/>
      <c r="C7" s="6"/>
      <c r="D7" s="6"/>
      <c r="E7" s="6"/>
      <c r="F7" s="6"/>
      <c r="G7" s="6"/>
      <c r="H7" s="6"/>
      <c r="I7" s="11"/>
      <c r="J7" s="11"/>
      <c r="K7" s="11"/>
      <c r="L7" s="18"/>
      <c r="M7" s="11"/>
      <c r="N7" s="11"/>
      <c r="O7" s="11"/>
      <c r="P7" s="6"/>
      <c r="Q7" s="11"/>
      <c r="R7" s="11"/>
      <c r="S7" s="11"/>
      <c r="T7" s="6"/>
      <c r="U7" s="11"/>
      <c r="V7" s="11"/>
      <c r="W7" s="11"/>
      <c r="X7" s="6"/>
    </row>
    <row r="8" spans="1:24" ht="14.4" customHeight="1" x14ac:dyDescent="0.3">
      <c r="A8" s="6"/>
      <c r="B8" s="6"/>
      <c r="C8" s="6"/>
      <c r="D8" s="6"/>
      <c r="E8" s="6"/>
      <c r="F8" s="6"/>
      <c r="G8" s="6"/>
      <c r="H8" s="6"/>
      <c r="I8" s="11"/>
      <c r="J8" s="11"/>
      <c r="K8" s="11"/>
      <c r="L8" s="18"/>
      <c r="M8" s="11"/>
      <c r="N8" s="11"/>
      <c r="O8" s="11"/>
      <c r="P8" s="6"/>
      <c r="Q8" s="11"/>
      <c r="R8" s="11"/>
      <c r="S8" s="11"/>
      <c r="T8" s="6"/>
      <c r="U8" s="11"/>
      <c r="V8" s="11"/>
      <c r="W8" s="11"/>
      <c r="X8" s="6"/>
    </row>
    <row r="9" spans="1:24" ht="14.4" customHeight="1" x14ac:dyDescent="0.3">
      <c r="A9" s="6"/>
      <c r="B9" s="6"/>
      <c r="C9" s="6"/>
      <c r="D9" s="6"/>
      <c r="E9" s="6"/>
      <c r="F9" s="6"/>
      <c r="G9" s="6"/>
      <c r="H9" s="6"/>
      <c r="I9" s="18"/>
      <c r="J9" s="18"/>
      <c r="K9" s="18"/>
      <c r="L9" s="18"/>
      <c r="M9" s="6"/>
      <c r="N9" s="6"/>
      <c r="O9" s="6"/>
      <c r="P9" s="6"/>
      <c r="Q9" s="6"/>
      <c r="R9" s="6"/>
      <c r="S9" s="6"/>
      <c r="T9" s="6"/>
      <c r="U9" s="6"/>
      <c r="V9" s="6"/>
      <c r="W9" s="6"/>
      <c r="X9" s="6"/>
    </row>
    <row r="10" spans="1:24" ht="14.4" customHeight="1" x14ac:dyDescent="0.3">
      <c r="A10" s="6"/>
      <c r="B10" s="6"/>
      <c r="C10" s="6"/>
      <c r="D10" s="6"/>
      <c r="E10" s="6"/>
      <c r="F10" s="6"/>
      <c r="G10" s="6"/>
      <c r="H10" s="6"/>
      <c r="I10" s="18"/>
      <c r="J10" s="18"/>
      <c r="K10" s="18"/>
      <c r="L10" s="18"/>
      <c r="M10" s="6"/>
      <c r="N10" s="6"/>
      <c r="O10" s="6"/>
      <c r="P10" s="6"/>
      <c r="Q10" s="6"/>
      <c r="R10" s="6"/>
      <c r="S10" s="6"/>
      <c r="T10" s="6"/>
      <c r="U10" s="6"/>
      <c r="V10" s="6"/>
      <c r="W10" s="6"/>
      <c r="X10" s="6"/>
    </row>
    <row r="11" spans="1:24" x14ac:dyDescent="0.3">
      <c r="A11" s="6"/>
      <c r="B11" s="6"/>
      <c r="C11" s="6"/>
      <c r="D11" s="6"/>
      <c r="E11" s="6"/>
      <c r="F11" s="6"/>
      <c r="G11" s="6"/>
      <c r="H11" s="6"/>
      <c r="I11" s="6"/>
      <c r="J11" s="6"/>
      <c r="K11" s="6"/>
      <c r="L11" s="6"/>
      <c r="M11" s="6"/>
      <c r="N11" s="6"/>
      <c r="O11" s="6"/>
      <c r="P11" s="6"/>
      <c r="Q11" s="6"/>
      <c r="R11" s="6"/>
      <c r="S11" s="6"/>
      <c r="T11" s="6"/>
      <c r="U11" s="6"/>
      <c r="V11" s="6"/>
      <c r="W11" s="6"/>
      <c r="X11" s="6"/>
    </row>
    <row r="12" spans="1:24" x14ac:dyDescent="0.3">
      <c r="A12" s="6"/>
      <c r="B12" s="6"/>
      <c r="C12" s="6"/>
      <c r="D12" s="6"/>
      <c r="E12" s="6"/>
      <c r="F12" s="6"/>
      <c r="G12" s="6"/>
      <c r="H12" s="6"/>
      <c r="I12" s="6"/>
      <c r="J12" s="6"/>
      <c r="K12" s="6"/>
      <c r="L12" s="6"/>
      <c r="M12" s="6"/>
      <c r="N12" s="6"/>
      <c r="O12" s="6"/>
      <c r="P12" s="6"/>
      <c r="Q12" s="6"/>
      <c r="R12" s="6"/>
      <c r="S12" s="6"/>
      <c r="T12" s="6"/>
      <c r="U12" s="6"/>
      <c r="V12" s="6"/>
      <c r="W12" s="6"/>
      <c r="X12" s="6"/>
    </row>
    <row r="13" spans="1:24" x14ac:dyDescent="0.3">
      <c r="A13" s="6"/>
      <c r="B13" s="6"/>
      <c r="C13" s="6"/>
      <c r="D13" s="6"/>
      <c r="E13" s="6"/>
      <c r="F13" s="6"/>
      <c r="G13" s="6"/>
      <c r="H13" s="6"/>
      <c r="I13" s="6"/>
      <c r="J13" s="6"/>
      <c r="K13" s="6"/>
      <c r="L13" s="6"/>
      <c r="M13" s="6"/>
      <c r="N13" s="6"/>
      <c r="O13" s="6"/>
      <c r="P13" s="6"/>
      <c r="Q13" s="6"/>
      <c r="R13" s="6"/>
      <c r="S13" s="6"/>
      <c r="T13" s="6"/>
      <c r="U13" s="6"/>
      <c r="V13" s="6"/>
      <c r="W13" s="6"/>
      <c r="X13" s="6"/>
    </row>
    <row r="14" spans="1:24" x14ac:dyDescent="0.3">
      <c r="A14" s="6"/>
      <c r="B14" s="6"/>
      <c r="C14" s="6"/>
      <c r="D14" s="6"/>
      <c r="E14" s="6"/>
      <c r="F14" s="6"/>
      <c r="G14" s="6"/>
      <c r="H14" s="6"/>
      <c r="I14" s="6"/>
      <c r="J14" s="6"/>
      <c r="K14" s="6"/>
      <c r="L14" s="6"/>
      <c r="M14" s="6"/>
      <c r="N14" s="6"/>
      <c r="O14" s="6"/>
      <c r="P14" s="6"/>
      <c r="Q14" s="6"/>
      <c r="R14" s="6"/>
      <c r="S14" s="6"/>
      <c r="T14" s="6"/>
      <c r="U14" s="6"/>
      <c r="V14" s="6"/>
      <c r="W14" s="6"/>
      <c r="X14" s="6"/>
    </row>
    <row r="15" spans="1:24" x14ac:dyDescent="0.3">
      <c r="A15" s="6"/>
      <c r="B15" s="6"/>
      <c r="C15" s="6"/>
      <c r="D15" s="6"/>
      <c r="E15" s="6"/>
      <c r="F15" s="6"/>
      <c r="G15" s="6"/>
      <c r="H15" s="6"/>
      <c r="I15" s="6"/>
      <c r="J15" s="6"/>
      <c r="K15" s="6"/>
      <c r="L15" s="6"/>
      <c r="M15" s="6"/>
      <c r="N15" s="6"/>
      <c r="O15" s="6"/>
      <c r="P15" s="6"/>
      <c r="Q15" s="6"/>
      <c r="R15" s="6"/>
      <c r="S15" s="6"/>
      <c r="T15" s="6"/>
      <c r="U15" s="6"/>
      <c r="V15" s="6"/>
      <c r="W15" s="6"/>
      <c r="X15" s="6"/>
    </row>
  </sheetData>
  <mergeCells count="8">
    <mergeCell ref="U3:W4"/>
    <mergeCell ref="U5:W8"/>
    <mergeCell ref="I3:K4"/>
    <mergeCell ref="I5:K8"/>
    <mergeCell ref="M3:O4"/>
    <mergeCell ref="M5:O8"/>
    <mergeCell ref="Q3:S4"/>
    <mergeCell ref="Q5:S8"/>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26375F-5EDA-46FE-9BBD-8BCAB328DD07}">
  <sheetPr codeName="Sheet3"/>
  <dimension ref="A1:K202"/>
  <sheetViews>
    <sheetView workbookViewId="0">
      <selection activeCell="N8" sqref="N8"/>
    </sheetView>
  </sheetViews>
  <sheetFormatPr defaultRowHeight="14.4" x14ac:dyDescent="0.3"/>
  <cols>
    <col min="1" max="1" width="10.88671875" bestFit="1" customWidth="1"/>
    <col min="2" max="2" width="11" bestFit="1" customWidth="1"/>
    <col min="3" max="3" width="7.21875" bestFit="1" customWidth="1"/>
    <col min="4" max="4" width="13.21875" bestFit="1" customWidth="1"/>
    <col min="5" max="5" width="7.77734375" bestFit="1" customWidth="1"/>
    <col min="6" max="6" width="7.6640625" bestFit="1" customWidth="1"/>
    <col min="7" max="7" width="12.77734375" bestFit="1" customWidth="1"/>
    <col min="8" max="8" width="14.88671875" bestFit="1" customWidth="1"/>
    <col min="9" max="9" width="16.5546875" bestFit="1" customWidth="1"/>
    <col min="10" max="10" width="10" bestFit="1" customWidth="1"/>
    <col min="11" max="11" width="10.77734375" bestFit="1" customWidth="1"/>
  </cols>
  <sheetData>
    <row r="1" spans="1:11" x14ac:dyDescent="0.3">
      <c r="A1" t="s">
        <v>176</v>
      </c>
      <c r="B1" t="s">
        <v>0</v>
      </c>
      <c r="C1" t="s">
        <v>249</v>
      </c>
      <c r="D1" t="s">
        <v>250</v>
      </c>
      <c r="E1" t="s">
        <v>251</v>
      </c>
      <c r="F1" t="s">
        <v>252</v>
      </c>
      <c r="G1" t="s">
        <v>253</v>
      </c>
      <c r="H1" t="s">
        <v>254</v>
      </c>
      <c r="I1" t="s">
        <v>255</v>
      </c>
      <c r="J1" t="s">
        <v>256</v>
      </c>
      <c r="K1" t="s">
        <v>257</v>
      </c>
    </row>
    <row r="2" spans="1:11" x14ac:dyDescent="0.3">
      <c r="A2" t="s">
        <v>189</v>
      </c>
      <c r="B2" t="s">
        <v>30</v>
      </c>
      <c r="C2">
        <v>58</v>
      </c>
      <c r="D2">
        <v>32</v>
      </c>
      <c r="E2">
        <v>6</v>
      </c>
      <c r="F2">
        <v>3</v>
      </c>
      <c r="G2">
        <v>181.25</v>
      </c>
      <c r="H2">
        <v>0</v>
      </c>
      <c r="I2">
        <v>0</v>
      </c>
      <c r="J2">
        <v>0</v>
      </c>
      <c r="K2">
        <v>0</v>
      </c>
    </row>
    <row r="3" spans="1:11" x14ac:dyDescent="0.3">
      <c r="A3" t="s">
        <v>189</v>
      </c>
      <c r="B3" t="s">
        <v>42</v>
      </c>
      <c r="C3">
        <v>72</v>
      </c>
      <c r="D3">
        <v>50</v>
      </c>
      <c r="E3">
        <v>5</v>
      </c>
      <c r="F3">
        <v>2</v>
      </c>
      <c r="G3">
        <v>144</v>
      </c>
      <c r="H3">
        <v>0</v>
      </c>
      <c r="I3">
        <v>0</v>
      </c>
      <c r="J3">
        <v>0</v>
      </c>
      <c r="K3">
        <v>0</v>
      </c>
    </row>
    <row r="4" spans="1:11" x14ac:dyDescent="0.3">
      <c r="A4" t="s">
        <v>189</v>
      </c>
      <c r="B4" t="s">
        <v>47</v>
      </c>
      <c r="C4">
        <v>0</v>
      </c>
      <c r="D4">
        <v>0</v>
      </c>
      <c r="E4">
        <v>0</v>
      </c>
      <c r="F4">
        <v>0</v>
      </c>
      <c r="G4">
        <v>0</v>
      </c>
      <c r="H4">
        <v>4</v>
      </c>
      <c r="I4">
        <v>28</v>
      </c>
      <c r="J4">
        <v>2</v>
      </c>
      <c r="K4">
        <v>7</v>
      </c>
    </row>
    <row r="5" spans="1:11" x14ac:dyDescent="0.3">
      <c r="A5" t="s">
        <v>190</v>
      </c>
      <c r="B5" t="s">
        <v>103</v>
      </c>
      <c r="C5">
        <v>95</v>
      </c>
      <c r="D5">
        <v>58</v>
      </c>
      <c r="E5">
        <v>10</v>
      </c>
      <c r="F5">
        <v>4</v>
      </c>
      <c r="G5">
        <v>163.79</v>
      </c>
      <c r="H5">
        <v>0</v>
      </c>
      <c r="I5">
        <v>0</v>
      </c>
      <c r="J5">
        <v>0</v>
      </c>
      <c r="K5">
        <v>0</v>
      </c>
    </row>
    <row r="6" spans="1:11" x14ac:dyDescent="0.3">
      <c r="A6" t="s">
        <v>190</v>
      </c>
      <c r="B6" t="s">
        <v>63</v>
      </c>
      <c r="C6">
        <v>45</v>
      </c>
      <c r="D6">
        <v>35</v>
      </c>
      <c r="E6">
        <v>4</v>
      </c>
      <c r="F6">
        <v>1</v>
      </c>
      <c r="G6">
        <v>128.57</v>
      </c>
      <c r="H6">
        <v>0</v>
      </c>
      <c r="I6">
        <v>0</v>
      </c>
      <c r="J6">
        <v>0</v>
      </c>
      <c r="K6">
        <v>0</v>
      </c>
    </row>
    <row r="7" spans="1:11" x14ac:dyDescent="0.3">
      <c r="A7" t="s">
        <v>191</v>
      </c>
      <c r="B7" t="s">
        <v>55</v>
      </c>
      <c r="C7">
        <v>34</v>
      </c>
      <c r="D7">
        <v>18</v>
      </c>
      <c r="E7">
        <v>2</v>
      </c>
      <c r="F7">
        <v>3</v>
      </c>
      <c r="G7">
        <v>188.89</v>
      </c>
      <c r="H7">
        <v>4</v>
      </c>
      <c r="I7">
        <v>38</v>
      </c>
      <c r="J7">
        <v>3</v>
      </c>
      <c r="K7">
        <v>9.5</v>
      </c>
    </row>
    <row r="8" spans="1:11" x14ac:dyDescent="0.3">
      <c r="A8" t="s">
        <v>191</v>
      </c>
      <c r="B8" t="s">
        <v>88</v>
      </c>
      <c r="C8">
        <v>0</v>
      </c>
      <c r="D8">
        <v>0</v>
      </c>
      <c r="E8">
        <v>0</v>
      </c>
      <c r="F8">
        <v>0</v>
      </c>
      <c r="G8">
        <v>0</v>
      </c>
      <c r="H8">
        <v>4</v>
      </c>
      <c r="I8">
        <v>30</v>
      </c>
      <c r="J8">
        <v>2</v>
      </c>
      <c r="K8">
        <v>7.5</v>
      </c>
    </row>
    <row r="9" spans="1:11" x14ac:dyDescent="0.3">
      <c r="A9" t="s">
        <v>192</v>
      </c>
      <c r="B9" t="s">
        <v>74</v>
      </c>
      <c r="C9">
        <v>65</v>
      </c>
      <c r="D9">
        <v>40</v>
      </c>
      <c r="E9">
        <v>7</v>
      </c>
      <c r="F9">
        <v>2</v>
      </c>
      <c r="G9">
        <v>162.5</v>
      </c>
      <c r="H9">
        <v>0</v>
      </c>
      <c r="I9">
        <v>0</v>
      </c>
      <c r="J9">
        <v>0</v>
      </c>
      <c r="K9">
        <v>0</v>
      </c>
    </row>
    <row r="10" spans="1:11" x14ac:dyDescent="0.3">
      <c r="A10" t="s">
        <v>192</v>
      </c>
      <c r="B10" t="s">
        <v>15</v>
      </c>
      <c r="C10">
        <v>0</v>
      </c>
      <c r="D10">
        <v>0</v>
      </c>
      <c r="E10">
        <v>0</v>
      </c>
      <c r="F10">
        <v>0</v>
      </c>
      <c r="G10">
        <v>0</v>
      </c>
      <c r="H10">
        <v>3.2</v>
      </c>
      <c r="I10">
        <v>25</v>
      </c>
      <c r="J10">
        <v>3</v>
      </c>
      <c r="K10">
        <v>7.5</v>
      </c>
    </row>
    <row r="11" spans="1:11" x14ac:dyDescent="0.3">
      <c r="A11" t="s">
        <v>193</v>
      </c>
      <c r="B11" t="s">
        <v>83</v>
      </c>
      <c r="C11">
        <v>88</v>
      </c>
      <c r="D11">
        <v>52</v>
      </c>
      <c r="E11">
        <v>8</v>
      </c>
      <c r="F11">
        <v>3</v>
      </c>
      <c r="G11">
        <v>169.23</v>
      </c>
      <c r="H11">
        <v>0</v>
      </c>
      <c r="I11">
        <v>0</v>
      </c>
      <c r="J11">
        <v>0</v>
      </c>
      <c r="K11">
        <v>0</v>
      </c>
    </row>
    <row r="12" spans="1:11" x14ac:dyDescent="0.3">
      <c r="A12" t="s">
        <v>193</v>
      </c>
      <c r="B12" t="s">
        <v>42</v>
      </c>
      <c r="C12">
        <v>5</v>
      </c>
      <c r="D12">
        <v>7</v>
      </c>
      <c r="E12">
        <v>0</v>
      </c>
      <c r="F12">
        <v>0</v>
      </c>
      <c r="G12">
        <v>71.430000000000007</v>
      </c>
      <c r="H12">
        <v>0</v>
      </c>
      <c r="I12">
        <v>0</v>
      </c>
      <c r="J12">
        <v>0</v>
      </c>
      <c r="K12">
        <v>0</v>
      </c>
    </row>
    <row r="13" spans="1:11" x14ac:dyDescent="0.3">
      <c r="A13" t="s">
        <v>194</v>
      </c>
      <c r="B13" t="s">
        <v>58</v>
      </c>
      <c r="C13">
        <v>18</v>
      </c>
      <c r="D13">
        <v>10</v>
      </c>
      <c r="E13">
        <v>1</v>
      </c>
      <c r="F13">
        <v>1</v>
      </c>
      <c r="G13">
        <v>180</v>
      </c>
      <c r="H13">
        <v>4</v>
      </c>
      <c r="I13">
        <v>22</v>
      </c>
      <c r="J13">
        <v>2</v>
      </c>
      <c r="K13">
        <v>5.5</v>
      </c>
    </row>
    <row r="14" spans="1:11" x14ac:dyDescent="0.3">
      <c r="A14" t="s">
        <v>194</v>
      </c>
      <c r="B14" t="s">
        <v>66</v>
      </c>
      <c r="C14">
        <v>0</v>
      </c>
      <c r="D14">
        <v>0</v>
      </c>
      <c r="E14">
        <v>0</v>
      </c>
      <c r="F14">
        <v>0</v>
      </c>
      <c r="G14">
        <v>0</v>
      </c>
      <c r="H14">
        <v>4</v>
      </c>
      <c r="I14">
        <v>25</v>
      </c>
      <c r="J14">
        <v>1</v>
      </c>
      <c r="K14">
        <v>6.25</v>
      </c>
    </row>
    <row r="15" spans="1:11" x14ac:dyDescent="0.3">
      <c r="A15" t="s">
        <v>195</v>
      </c>
      <c r="B15" t="s">
        <v>33</v>
      </c>
      <c r="C15">
        <v>0</v>
      </c>
      <c r="D15">
        <v>0</v>
      </c>
      <c r="E15">
        <v>0</v>
      </c>
      <c r="F15">
        <v>0</v>
      </c>
      <c r="G15">
        <v>0</v>
      </c>
      <c r="H15">
        <v>4</v>
      </c>
      <c r="I15">
        <v>24</v>
      </c>
      <c r="J15">
        <v>3</v>
      </c>
      <c r="K15">
        <v>6</v>
      </c>
    </row>
    <row r="16" spans="1:11" x14ac:dyDescent="0.3">
      <c r="A16" t="s">
        <v>195</v>
      </c>
      <c r="B16" t="s">
        <v>85</v>
      </c>
      <c r="C16">
        <v>35</v>
      </c>
      <c r="D16">
        <v>25</v>
      </c>
      <c r="E16">
        <v>2</v>
      </c>
      <c r="F16">
        <v>2</v>
      </c>
      <c r="G16">
        <v>140</v>
      </c>
      <c r="H16">
        <v>0</v>
      </c>
      <c r="I16">
        <v>0</v>
      </c>
      <c r="J16">
        <v>0</v>
      </c>
      <c r="K16">
        <v>0</v>
      </c>
    </row>
    <row r="17" spans="1:11" x14ac:dyDescent="0.3">
      <c r="A17" t="s">
        <v>196</v>
      </c>
      <c r="B17" t="s">
        <v>101</v>
      </c>
      <c r="C17">
        <v>56</v>
      </c>
      <c r="D17">
        <v>28</v>
      </c>
      <c r="E17">
        <v>3</v>
      </c>
      <c r="F17">
        <v>5</v>
      </c>
      <c r="G17">
        <v>200</v>
      </c>
      <c r="H17">
        <v>0</v>
      </c>
      <c r="I17">
        <v>0</v>
      </c>
      <c r="J17">
        <v>0</v>
      </c>
      <c r="K17">
        <v>0</v>
      </c>
    </row>
    <row r="18" spans="1:11" x14ac:dyDescent="0.3">
      <c r="A18" t="s">
        <v>196</v>
      </c>
      <c r="B18" t="s">
        <v>24</v>
      </c>
      <c r="C18">
        <v>22</v>
      </c>
      <c r="D18">
        <v>19</v>
      </c>
      <c r="E18">
        <v>1</v>
      </c>
      <c r="F18">
        <v>0</v>
      </c>
      <c r="G18">
        <v>115.79</v>
      </c>
      <c r="H18">
        <v>0</v>
      </c>
      <c r="I18">
        <v>0</v>
      </c>
      <c r="J18">
        <v>0</v>
      </c>
      <c r="K18">
        <v>0</v>
      </c>
    </row>
    <row r="19" spans="1:11" x14ac:dyDescent="0.3">
      <c r="A19" t="s">
        <v>197</v>
      </c>
      <c r="B19" t="s">
        <v>60</v>
      </c>
      <c r="C19">
        <v>0</v>
      </c>
      <c r="D19">
        <v>0</v>
      </c>
      <c r="E19">
        <v>0</v>
      </c>
      <c r="F19">
        <v>0</v>
      </c>
      <c r="G19">
        <v>0</v>
      </c>
      <c r="H19">
        <v>3.3</v>
      </c>
      <c r="I19">
        <v>19</v>
      </c>
      <c r="J19">
        <v>4</v>
      </c>
      <c r="K19">
        <v>5.43</v>
      </c>
    </row>
    <row r="20" spans="1:11" x14ac:dyDescent="0.3">
      <c r="A20" t="s">
        <v>197</v>
      </c>
      <c r="B20" t="s">
        <v>42</v>
      </c>
      <c r="C20">
        <v>40</v>
      </c>
      <c r="D20">
        <v>30</v>
      </c>
      <c r="E20">
        <v>3</v>
      </c>
      <c r="F20">
        <v>1</v>
      </c>
      <c r="G20">
        <v>133.33000000000001</v>
      </c>
      <c r="H20">
        <v>0</v>
      </c>
      <c r="I20">
        <v>0</v>
      </c>
      <c r="J20">
        <v>0</v>
      </c>
      <c r="K20">
        <v>0</v>
      </c>
    </row>
    <row r="21" spans="1:11" x14ac:dyDescent="0.3">
      <c r="A21" t="s">
        <v>198</v>
      </c>
      <c r="B21" t="s">
        <v>66</v>
      </c>
      <c r="C21">
        <v>0</v>
      </c>
      <c r="D21">
        <v>0</v>
      </c>
      <c r="E21">
        <v>0</v>
      </c>
      <c r="F21">
        <v>0</v>
      </c>
      <c r="G21">
        <v>0</v>
      </c>
      <c r="H21">
        <v>4</v>
      </c>
      <c r="I21">
        <v>17</v>
      </c>
      <c r="J21">
        <v>2</v>
      </c>
      <c r="K21">
        <v>4.25</v>
      </c>
    </row>
    <row r="22" spans="1:11" x14ac:dyDescent="0.3">
      <c r="A22" t="s">
        <v>198</v>
      </c>
      <c r="B22" t="s">
        <v>83</v>
      </c>
      <c r="C22">
        <v>12</v>
      </c>
      <c r="D22">
        <v>14</v>
      </c>
      <c r="E22">
        <v>1</v>
      </c>
      <c r="F22">
        <v>0</v>
      </c>
      <c r="G22">
        <v>85.71</v>
      </c>
      <c r="H22">
        <v>0</v>
      </c>
      <c r="I22">
        <v>0</v>
      </c>
      <c r="J22">
        <v>0</v>
      </c>
      <c r="K22">
        <v>0</v>
      </c>
    </row>
    <row r="23" spans="1:11" x14ac:dyDescent="0.3">
      <c r="A23" t="s">
        <v>199</v>
      </c>
      <c r="B23" t="s">
        <v>85</v>
      </c>
      <c r="C23">
        <v>75</v>
      </c>
      <c r="D23">
        <v>45</v>
      </c>
      <c r="E23">
        <v>5</v>
      </c>
      <c r="F23">
        <v>4</v>
      </c>
      <c r="G23">
        <v>166.67</v>
      </c>
      <c r="H23">
        <v>0</v>
      </c>
      <c r="I23">
        <v>0</v>
      </c>
      <c r="J23">
        <v>0</v>
      </c>
      <c r="K23">
        <v>0</v>
      </c>
    </row>
    <row r="24" spans="1:11" x14ac:dyDescent="0.3">
      <c r="A24" t="s">
        <v>199</v>
      </c>
      <c r="B24" t="s">
        <v>27</v>
      </c>
      <c r="C24">
        <v>25</v>
      </c>
      <c r="D24">
        <v>18</v>
      </c>
      <c r="E24">
        <v>1</v>
      </c>
      <c r="F24">
        <v>1</v>
      </c>
      <c r="G24">
        <v>138.88999999999999</v>
      </c>
      <c r="H24">
        <v>4</v>
      </c>
      <c r="I24">
        <v>35</v>
      </c>
      <c r="J24">
        <v>1</v>
      </c>
      <c r="K24">
        <v>8.75</v>
      </c>
    </row>
    <row r="25" spans="1:11" x14ac:dyDescent="0.3">
      <c r="A25" t="s">
        <v>200</v>
      </c>
      <c r="B25" t="s">
        <v>36</v>
      </c>
      <c r="C25">
        <v>48</v>
      </c>
      <c r="D25">
        <v>32</v>
      </c>
      <c r="E25">
        <v>4</v>
      </c>
      <c r="F25">
        <v>1</v>
      </c>
      <c r="G25">
        <v>150</v>
      </c>
      <c r="H25">
        <v>0</v>
      </c>
      <c r="I25">
        <v>0</v>
      </c>
      <c r="J25">
        <v>0</v>
      </c>
      <c r="K25">
        <v>0</v>
      </c>
    </row>
    <row r="26" spans="1:11" x14ac:dyDescent="0.3">
      <c r="A26" t="s">
        <v>200</v>
      </c>
      <c r="B26" t="s">
        <v>99</v>
      </c>
      <c r="C26">
        <v>0</v>
      </c>
      <c r="D26">
        <v>0</v>
      </c>
      <c r="E26">
        <v>0</v>
      </c>
      <c r="F26">
        <v>0</v>
      </c>
      <c r="G26">
        <v>0</v>
      </c>
      <c r="H26">
        <v>4</v>
      </c>
      <c r="I26">
        <v>30</v>
      </c>
      <c r="J26">
        <v>2</v>
      </c>
      <c r="K26">
        <v>7.5</v>
      </c>
    </row>
    <row r="27" spans="1:11" x14ac:dyDescent="0.3">
      <c r="A27" t="s">
        <v>201</v>
      </c>
      <c r="B27" t="s">
        <v>42</v>
      </c>
      <c r="C27">
        <v>105</v>
      </c>
      <c r="D27">
        <v>60</v>
      </c>
      <c r="E27">
        <v>12</v>
      </c>
      <c r="F27">
        <v>3</v>
      </c>
      <c r="G27">
        <v>175</v>
      </c>
      <c r="H27">
        <v>0</v>
      </c>
      <c r="I27">
        <v>0</v>
      </c>
      <c r="J27">
        <v>0</v>
      </c>
      <c r="K27">
        <v>0</v>
      </c>
    </row>
    <row r="28" spans="1:11" x14ac:dyDescent="0.3">
      <c r="A28" t="s">
        <v>201</v>
      </c>
      <c r="B28" t="s">
        <v>69</v>
      </c>
      <c r="C28">
        <v>0</v>
      </c>
      <c r="D28">
        <v>0</v>
      </c>
      <c r="E28">
        <v>0</v>
      </c>
      <c r="F28">
        <v>0</v>
      </c>
      <c r="G28">
        <v>0</v>
      </c>
      <c r="H28">
        <v>4</v>
      </c>
      <c r="I28">
        <v>40</v>
      </c>
      <c r="J28">
        <v>1</v>
      </c>
      <c r="K28">
        <v>10</v>
      </c>
    </row>
    <row r="29" spans="1:11" x14ac:dyDescent="0.3">
      <c r="A29" t="s">
        <v>202</v>
      </c>
      <c r="B29" t="s">
        <v>8</v>
      </c>
      <c r="C29">
        <v>88</v>
      </c>
      <c r="D29">
        <v>48</v>
      </c>
      <c r="E29">
        <v>9</v>
      </c>
      <c r="F29">
        <v>4</v>
      </c>
      <c r="G29">
        <v>183.33</v>
      </c>
      <c r="H29">
        <v>0</v>
      </c>
      <c r="I29">
        <v>0</v>
      </c>
      <c r="J29">
        <v>0</v>
      </c>
      <c r="K29">
        <v>0</v>
      </c>
    </row>
    <row r="30" spans="1:11" x14ac:dyDescent="0.3">
      <c r="A30" t="s">
        <v>202</v>
      </c>
      <c r="B30" t="s">
        <v>78</v>
      </c>
      <c r="C30">
        <v>0</v>
      </c>
      <c r="D30">
        <v>0</v>
      </c>
      <c r="E30">
        <v>0</v>
      </c>
      <c r="F30">
        <v>0</v>
      </c>
      <c r="G30">
        <v>0</v>
      </c>
      <c r="H30">
        <v>4</v>
      </c>
      <c r="I30">
        <v>30</v>
      </c>
      <c r="J30">
        <v>1</v>
      </c>
      <c r="K30">
        <v>7.5</v>
      </c>
    </row>
    <row r="31" spans="1:11" x14ac:dyDescent="0.3">
      <c r="A31" t="s">
        <v>203</v>
      </c>
      <c r="B31" t="s">
        <v>96</v>
      </c>
      <c r="C31">
        <v>65</v>
      </c>
      <c r="D31">
        <v>40</v>
      </c>
      <c r="E31">
        <v>6</v>
      </c>
      <c r="F31">
        <v>2</v>
      </c>
      <c r="G31">
        <v>162.5</v>
      </c>
      <c r="H31">
        <v>0</v>
      </c>
      <c r="I31">
        <v>0</v>
      </c>
      <c r="J31">
        <v>0</v>
      </c>
      <c r="K31">
        <v>0</v>
      </c>
    </row>
    <row r="32" spans="1:11" x14ac:dyDescent="0.3">
      <c r="A32" t="s">
        <v>203</v>
      </c>
      <c r="B32" t="s">
        <v>52</v>
      </c>
      <c r="C32">
        <v>10</v>
      </c>
      <c r="D32">
        <v>8</v>
      </c>
      <c r="E32">
        <v>0</v>
      </c>
      <c r="F32">
        <v>1</v>
      </c>
      <c r="G32">
        <v>125</v>
      </c>
      <c r="H32">
        <v>0</v>
      </c>
      <c r="I32">
        <v>0</v>
      </c>
      <c r="J32">
        <v>0</v>
      </c>
      <c r="K32">
        <v>0</v>
      </c>
    </row>
    <row r="33" spans="1:11" x14ac:dyDescent="0.3">
      <c r="A33" t="s">
        <v>204</v>
      </c>
      <c r="B33" t="s">
        <v>88</v>
      </c>
      <c r="C33">
        <v>0</v>
      </c>
      <c r="D33">
        <v>0</v>
      </c>
      <c r="E33">
        <v>0</v>
      </c>
      <c r="F33">
        <v>0</v>
      </c>
      <c r="G33">
        <v>0</v>
      </c>
      <c r="H33">
        <v>4</v>
      </c>
      <c r="I33">
        <v>22</v>
      </c>
      <c r="J33">
        <v>3</v>
      </c>
      <c r="K33">
        <v>5.5</v>
      </c>
    </row>
    <row r="34" spans="1:11" x14ac:dyDescent="0.3">
      <c r="A34" t="s">
        <v>204</v>
      </c>
      <c r="B34" t="s">
        <v>63</v>
      </c>
      <c r="C34">
        <v>40</v>
      </c>
      <c r="D34">
        <v>30</v>
      </c>
      <c r="E34">
        <v>4</v>
      </c>
      <c r="F34">
        <v>1</v>
      </c>
      <c r="G34">
        <v>133.33000000000001</v>
      </c>
      <c r="H34">
        <v>0</v>
      </c>
      <c r="I34">
        <v>0</v>
      </c>
      <c r="J34">
        <v>0</v>
      </c>
      <c r="K34">
        <v>0</v>
      </c>
    </row>
    <row r="35" spans="1:11" x14ac:dyDescent="0.3">
      <c r="A35" t="s">
        <v>205</v>
      </c>
      <c r="B35" t="s">
        <v>30</v>
      </c>
      <c r="C35">
        <v>55</v>
      </c>
      <c r="D35">
        <v>30</v>
      </c>
      <c r="E35">
        <v>5</v>
      </c>
      <c r="F35">
        <v>3</v>
      </c>
      <c r="G35">
        <v>183.33</v>
      </c>
      <c r="H35">
        <v>0</v>
      </c>
      <c r="I35">
        <v>0</v>
      </c>
      <c r="J35">
        <v>0</v>
      </c>
      <c r="K35">
        <v>0</v>
      </c>
    </row>
    <row r="36" spans="1:11" x14ac:dyDescent="0.3">
      <c r="A36" t="s">
        <v>205</v>
      </c>
      <c r="B36" t="s">
        <v>15</v>
      </c>
      <c r="C36">
        <v>0</v>
      </c>
      <c r="D36">
        <v>0</v>
      </c>
      <c r="E36">
        <v>0</v>
      </c>
      <c r="F36">
        <v>0</v>
      </c>
      <c r="G36">
        <v>0</v>
      </c>
      <c r="H36">
        <v>4</v>
      </c>
      <c r="I36">
        <v>32</v>
      </c>
      <c r="J36">
        <v>1</v>
      </c>
      <c r="K36">
        <v>8</v>
      </c>
    </row>
    <row r="37" spans="1:11" x14ac:dyDescent="0.3">
      <c r="A37" t="s">
        <v>206</v>
      </c>
      <c r="B37" t="s">
        <v>47</v>
      </c>
      <c r="C37">
        <v>68</v>
      </c>
      <c r="D37">
        <v>40</v>
      </c>
      <c r="E37">
        <v>6</v>
      </c>
      <c r="F37">
        <v>3</v>
      </c>
      <c r="G37">
        <v>170</v>
      </c>
      <c r="H37">
        <v>0</v>
      </c>
      <c r="I37">
        <v>0</v>
      </c>
      <c r="J37">
        <v>0</v>
      </c>
      <c r="K37">
        <v>0</v>
      </c>
    </row>
    <row r="38" spans="1:11" x14ac:dyDescent="0.3">
      <c r="A38" t="s">
        <v>206</v>
      </c>
      <c r="B38" t="s">
        <v>99</v>
      </c>
      <c r="C38">
        <v>0</v>
      </c>
      <c r="D38">
        <v>0</v>
      </c>
      <c r="E38">
        <v>0</v>
      </c>
      <c r="F38">
        <v>0</v>
      </c>
      <c r="G38">
        <v>0</v>
      </c>
      <c r="H38">
        <v>4</v>
      </c>
      <c r="I38">
        <v>42</v>
      </c>
      <c r="J38">
        <v>1</v>
      </c>
      <c r="K38">
        <v>10.5</v>
      </c>
    </row>
    <row r="39" spans="1:11" x14ac:dyDescent="0.3">
      <c r="A39" t="s">
        <v>207</v>
      </c>
      <c r="B39" t="s">
        <v>78</v>
      </c>
      <c r="C39">
        <v>0</v>
      </c>
      <c r="D39">
        <v>0</v>
      </c>
      <c r="E39">
        <v>0</v>
      </c>
      <c r="F39">
        <v>0</v>
      </c>
      <c r="G39">
        <v>0</v>
      </c>
      <c r="H39">
        <v>4</v>
      </c>
      <c r="I39">
        <v>20</v>
      </c>
      <c r="J39">
        <v>3</v>
      </c>
      <c r="K39">
        <v>5</v>
      </c>
    </row>
    <row r="40" spans="1:11" x14ac:dyDescent="0.3">
      <c r="A40" t="s">
        <v>207</v>
      </c>
      <c r="B40" t="s">
        <v>55</v>
      </c>
      <c r="C40">
        <v>25</v>
      </c>
      <c r="D40">
        <v>15</v>
      </c>
      <c r="E40">
        <v>2</v>
      </c>
      <c r="F40">
        <v>2</v>
      </c>
      <c r="G40">
        <v>166.67</v>
      </c>
      <c r="H40">
        <v>0</v>
      </c>
      <c r="I40">
        <v>0</v>
      </c>
      <c r="J40">
        <v>0</v>
      </c>
      <c r="K40">
        <v>0</v>
      </c>
    </row>
    <row r="41" spans="1:11" x14ac:dyDescent="0.3">
      <c r="A41" t="s">
        <v>208</v>
      </c>
      <c r="B41" t="s">
        <v>69</v>
      </c>
      <c r="C41">
        <v>50</v>
      </c>
      <c r="D41">
        <v>30</v>
      </c>
      <c r="E41">
        <v>4</v>
      </c>
      <c r="F41">
        <v>3</v>
      </c>
      <c r="G41">
        <v>166.67</v>
      </c>
      <c r="H41">
        <v>0</v>
      </c>
      <c r="I41">
        <v>0</v>
      </c>
      <c r="J41">
        <v>0</v>
      </c>
      <c r="K41">
        <v>0</v>
      </c>
    </row>
    <row r="42" spans="1:11" x14ac:dyDescent="0.3">
      <c r="A42" t="s">
        <v>208</v>
      </c>
      <c r="B42" t="s">
        <v>93</v>
      </c>
      <c r="C42">
        <v>0</v>
      </c>
      <c r="D42">
        <v>0</v>
      </c>
      <c r="E42">
        <v>0</v>
      </c>
      <c r="F42">
        <v>0</v>
      </c>
      <c r="G42">
        <v>0</v>
      </c>
      <c r="H42">
        <v>4</v>
      </c>
      <c r="I42">
        <v>40</v>
      </c>
      <c r="J42">
        <v>0</v>
      </c>
      <c r="K42">
        <v>10</v>
      </c>
    </row>
    <row r="43" spans="1:11" x14ac:dyDescent="0.3">
      <c r="A43" t="s">
        <v>209</v>
      </c>
      <c r="B43" t="s">
        <v>15</v>
      </c>
      <c r="C43">
        <v>0</v>
      </c>
      <c r="D43">
        <v>0</v>
      </c>
      <c r="E43">
        <v>0</v>
      </c>
      <c r="F43">
        <v>0</v>
      </c>
      <c r="G43">
        <v>0</v>
      </c>
      <c r="H43">
        <v>4</v>
      </c>
      <c r="I43">
        <v>26</v>
      </c>
      <c r="J43">
        <v>3</v>
      </c>
      <c r="K43">
        <v>6.5</v>
      </c>
    </row>
    <row r="44" spans="1:11" x14ac:dyDescent="0.3">
      <c r="A44" t="s">
        <v>209</v>
      </c>
      <c r="B44" t="s">
        <v>52</v>
      </c>
      <c r="C44">
        <v>35</v>
      </c>
      <c r="D44">
        <v>28</v>
      </c>
      <c r="E44">
        <v>3</v>
      </c>
      <c r="F44">
        <v>1</v>
      </c>
      <c r="G44">
        <v>125</v>
      </c>
      <c r="H44">
        <v>0</v>
      </c>
      <c r="I44">
        <v>0</v>
      </c>
      <c r="J44">
        <v>0</v>
      </c>
      <c r="K44">
        <v>0</v>
      </c>
    </row>
    <row r="45" spans="1:11" x14ac:dyDescent="0.3">
      <c r="A45" t="s">
        <v>210</v>
      </c>
      <c r="B45" t="s">
        <v>99</v>
      </c>
      <c r="C45">
        <v>0</v>
      </c>
      <c r="D45">
        <v>0</v>
      </c>
      <c r="E45">
        <v>0</v>
      </c>
      <c r="F45">
        <v>0</v>
      </c>
      <c r="G45">
        <v>0</v>
      </c>
      <c r="H45">
        <v>4</v>
      </c>
      <c r="I45">
        <v>23</v>
      </c>
      <c r="J45">
        <v>2</v>
      </c>
      <c r="K45">
        <v>5.75</v>
      </c>
    </row>
    <row r="46" spans="1:11" x14ac:dyDescent="0.3">
      <c r="A46" t="s">
        <v>210</v>
      </c>
      <c r="B46" t="s">
        <v>80</v>
      </c>
      <c r="C46">
        <v>0</v>
      </c>
      <c r="D46">
        <v>0</v>
      </c>
      <c r="E46">
        <v>0</v>
      </c>
      <c r="F46">
        <v>0</v>
      </c>
      <c r="G46">
        <v>0</v>
      </c>
      <c r="H46">
        <v>4</v>
      </c>
      <c r="I46">
        <v>34</v>
      </c>
      <c r="J46">
        <v>1</v>
      </c>
      <c r="K46">
        <v>8.5</v>
      </c>
    </row>
    <row r="47" spans="1:11" x14ac:dyDescent="0.3">
      <c r="A47" t="s">
        <v>211</v>
      </c>
      <c r="B47" t="s">
        <v>42</v>
      </c>
      <c r="C47">
        <v>80</v>
      </c>
      <c r="D47">
        <v>55</v>
      </c>
      <c r="E47">
        <v>7</v>
      </c>
      <c r="F47">
        <v>2</v>
      </c>
      <c r="G47">
        <v>145.44999999999999</v>
      </c>
      <c r="H47">
        <v>0</v>
      </c>
      <c r="I47">
        <v>0</v>
      </c>
      <c r="J47">
        <v>0</v>
      </c>
      <c r="K47">
        <v>0</v>
      </c>
    </row>
    <row r="48" spans="1:11" x14ac:dyDescent="0.3">
      <c r="A48" t="s">
        <v>211</v>
      </c>
      <c r="B48" t="s">
        <v>36</v>
      </c>
      <c r="C48">
        <v>30</v>
      </c>
      <c r="D48">
        <v>22</v>
      </c>
      <c r="E48">
        <v>3</v>
      </c>
      <c r="F48">
        <v>0</v>
      </c>
      <c r="G48">
        <v>136.36000000000001</v>
      </c>
      <c r="H48">
        <v>0</v>
      </c>
      <c r="I48">
        <v>0</v>
      </c>
      <c r="J48">
        <v>0</v>
      </c>
      <c r="K48">
        <v>0</v>
      </c>
    </row>
    <row r="49" spans="1:11" x14ac:dyDescent="0.3">
      <c r="A49" t="s">
        <v>212</v>
      </c>
      <c r="B49" t="s">
        <v>19</v>
      </c>
      <c r="C49">
        <v>78</v>
      </c>
      <c r="D49">
        <v>45</v>
      </c>
      <c r="E49">
        <v>8</v>
      </c>
      <c r="F49">
        <v>3</v>
      </c>
      <c r="G49">
        <v>173.33</v>
      </c>
      <c r="H49">
        <v>0</v>
      </c>
      <c r="I49">
        <v>0</v>
      </c>
      <c r="J49">
        <v>0</v>
      </c>
      <c r="K49">
        <v>0</v>
      </c>
    </row>
    <row r="50" spans="1:11" x14ac:dyDescent="0.3">
      <c r="A50" t="s">
        <v>212</v>
      </c>
      <c r="B50" t="s">
        <v>71</v>
      </c>
      <c r="C50">
        <v>0</v>
      </c>
      <c r="D50">
        <v>0</v>
      </c>
      <c r="E50">
        <v>0</v>
      </c>
      <c r="F50">
        <v>0</v>
      </c>
      <c r="G50">
        <v>0</v>
      </c>
      <c r="H50">
        <v>4</v>
      </c>
      <c r="I50">
        <v>28</v>
      </c>
      <c r="J50">
        <v>1</v>
      </c>
      <c r="K50">
        <v>7</v>
      </c>
    </row>
    <row r="51" spans="1:11" x14ac:dyDescent="0.3">
      <c r="A51" t="s">
        <v>213</v>
      </c>
      <c r="B51" t="s">
        <v>103</v>
      </c>
      <c r="C51">
        <v>90</v>
      </c>
      <c r="D51">
        <v>50</v>
      </c>
      <c r="E51">
        <v>11</v>
      </c>
      <c r="F51">
        <v>3</v>
      </c>
      <c r="G51">
        <v>180</v>
      </c>
      <c r="H51">
        <v>0</v>
      </c>
      <c r="I51">
        <v>0</v>
      </c>
      <c r="J51">
        <v>0</v>
      </c>
      <c r="K51">
        <v>0</v>
      </c>
    </row>
    <row r="52" spans="1:11" x14ac:dyDescent="0.3">
      <c r="A52" t="s">
        <v>213</v>
      </c>
      <c r="B52" t="s">
        <v>85</v>
      </c>
      <c r="C52">
        <v>50</v>
      </c>
      <c r="D52">
        <v>35</v>
      </c>
      <c r="E52">
        <v>4</v>
      </c>
      <c r="F52">
        <v>2</v>
      </c>
      <c r="G52">
        <v>142.86000000000001</v>
      </c>
      <c r="H52">
        <v>0</v>
      </c>
      <c r="I52">
        <v>0</v>
      </c>
      <c r="J52">
        <v>0</v>
      </c>
      <c r="K52">
        <v>0</v>
      </c>
    </row>
    <row r="53" spans="1:11" x14ac:dyDescent="0.3">
      <c r="A53" t="s">
        <v>214</v>
      </c>
      <c r="B53" t="s">
        <v>39</v>
      </c>
      <c r="C53">
        <v>0</v>
      </c>
      <c r="D53">
        <v>0</v>
      </c>
      <c r="E53">
        <v>0</v>
      </c>
      <c r="F53">
        <v>0</v>
      </c>
      <c r="G53">
        <v>0</v>
      </c>
      <c r="H53">
        <v>4</v>
      </c>
      <c r="I53">
        <v>21</v>
      </c>
      <c r="J53">
        <v>3</v>
      </c>
      <c r="K53">
        <v>5.25</v>
      </c>
    </row>
    <row r="54" spans="1:11" x14ac:dyDescent="0.3">
      <c r="A54" t="s">
        <v>214</v>
      </c>
      <c r="B54" t="s">
        <v>58</v>
      </c>
      <c r="C54">
        <v>15</v>
      </c>
      <c r="D54">
        <v>10</v>
      </c>
      <c r="E54">
        <v>1</v>
      </c>
      <c r="F54">
        <v>1</v>
      </c>
      <c r="G54">
        <v>150</v>
      </c>
      <c r="H54">
        <v>4</v>
      </c>
      <c r="I54">
        <v>25</v>
      </c>
      <c r="J54">
        <v>1</v>
      </c>
      <c r="K54">
        <v>6.25</v>
      </c>
    </row>
    <row r="55" spans="1:11" x14ac:dyDescent="0.3">
      <c r="A55" t="s">
        <v>215</v>
      </c>
      <c r="B55" t="s">
        <v>74</v>
      </c>
      <c r="C55">
        <v>102</v>
      </c>
      <c r="D55">
        <v>59</v>
      </c>
      <c r="E55">
        <v>10</v>
      </c>
      <c r="F55">
        <v>4</v>
      </c>
      <c r="G55">
        <v>172.88</v>
      </c>
      <c r="H55">
        <v>0</v>
      </c>
      <c r="I55">
        <v>0</v>
      </c>
      <c r="J55">
        <v>0</v>
      </c>
      <c r="K55">
        <v>0</v>
      </c>
    </row>
    <row r="56" spans="1:11" x14ac:dyDescent="0.3">
      <c r="A56" t="s">
        <v>215</v>
      </c>
      <c r="B56" t="s">
        <v>47</v>
      </c>
      <c r="C56">
        <v>33</v>
      </c>
      <c r="D56">
        <v>20</v>
      </c>
      <c r="E56">
        <v>3</v>
      </c>
      <c r="F56">
        <v>2</v>
      </c>
      <c r="G56">
        <v>165</v>
      </c>
      <c r="H56">
        <v>0</v>
      </c>
      <c r="I56">
        <v>0</v>
      </c>
      <c r="J56">
        <v>0</v>
      </c>
      <c r="K56">
        <v>0</v>
      </c>
    </row>
    <row r="57" spans="1:11" x14ac:dyDescent="0.3">
      <c r="A57" t="s">
        <v>216</v>
      </c>
      <c r="B57" t="s">
        <v>24</v>
      </c>
      <c r="C57">
        <v>60</v>
      </c>
      <c r="D57">
        <v>35</v>
      </c>
      <c r="E57">
        <v>5</v>
      </c>
      <c r="F57">
        <v>3</v>
      </c>
      <c r="G57">
        <v>171.43</v>
      </c>
      <c r="H57">
        <v>0</v>
      </c>
      <c r="I57">
        <v>0</v>
      </c>
      <c r="J57">
        <v>0</v>
      </c>
      <c r="K57">
        <v>0</v>
      </c>
    </row>
    <row r="58" spans="1:11" x14ac:dyDescent="0.3">
      <c r="A58" t="s">
        <v>216</v>
      </c>
      <c r="B58" t="s">
        <v>63</v>
      </c>
      <c r="C58">
        <v>25</v>
      </c>
      <c r="D58">
        <v>20</v>
      </c>
      <c r="E58">
        <v>2</v>
      </c>
      <c r="F58">
        <v>0</v>
      </c>
      <c r="G58">
        <v>125</v>
      </c>
      <c r="H58">
        <v>0</v>
      </c>
      <c r="I58">
        <v>0</v>
      </c>
      <c r="J58">
        <v>0</v>
      </c>
      <c r="K58">
        <v>0</v>
      </c>
    </row>
    <row r="59" spans="1:11" x14ac:dyDescent="0.3">
      <c r="A59" t="s">
        <v>217</v>
      </c>
      <c r="B59" t="s">
        <v>91</v>
      </c>
      <c r="C59">
        <v>70</v>
      </c>
      <c r="D59">
        <v>42</v>
      </c>
      <c r="E59">
        <v>8</v>
      </c>
      <c r="F59">
        <v>2</v>
      </c>
      <c r="G59">
        <v>166.67</v>
      </c>
      <c r="H59">
        <v>0</v>
      </c>
      <c r="I59">
        <v>0</v>
      </c>
      <c r="J59">
        <v>0</v>
      </c>
      <c r="K59">
        <v>0</v>
      </c>
    </row>
    <row r="60" spans="1:11" x14ac:dyDescent="0.3">
      <c r="A60" t="s">
        <v>217</v>
      </c>
      <c r="B60" t="s">
        <v>96</v>
      </c>
      <c r="C60">
        <v>20</v>
      </c>
      <c r="D60">
        <v>15</v>
      </c>
      <c r="E60">
        <v>1</v>
      </c>
      <c r="F60">
        <v>1</v>
      </c>
      <c r="G60">
        <v>133.33000000000001</v>
      </c>
      <c r="H60">
        <v>0</v>
      </c>
      <c r="I60">
        <v>0</v>
      </c>
      <c r="J60">
        <v>0</v>
      </c>
      <c r="K60">
        <v>0</v>
      </c>
    </row>
    <row r="61" spans="1:11" x14ac:dyDescent="0.3">
      <c r="A61" t="s">
        <v>218</v>
      </c>
      <c r="B61" t="s">
        <v>52</v>
      </c>
      <c r="C61">
        <v>85</v>
      </c>
      <c r="D61">
        <v>45</v>
      </c>
      <c r="E61">
        <v>7</v>
      </c>
      <c r="F61">
        <v>4</v>
      </c>
      <c r="G61">
        <v>188.89</v>
      </c>
      <c r="H61">
        <v>0</v>
      </c>
      <c r="I61">
        <v>0</v>
      </c>
      <c r="J61">
        <v>0</v>
      </c>
      <c r="K61">
        <v>0</v>
      </c>
    </row>
    <row r="62" spans="1:11" x14ac:dyDescent="0.3">
      <c r="A62" t="s">
        <v>218</v>
      </c>
      <c r="B62" t="s">
        <v>33</v>
      </c>
      <c r="C62">
        <v>0</v>
      </c>
      <c r="D62">
        <v>0</v>
      </c>
      <c r="E62">
        <v>0</v>
      </c>
      <c r="F62">
        <v>0</v>
      </c>
      <c r="G62">
        <v>0</v>
      </c>
      <c r="H62">
        <v>4</v>
      </c>
      <c r="I62">
        <v>35</v>
      </c>
      <c r="J62">
        <v>2</v>
      </c>
      <c r="K62">
        <v>8.75</v>
      </c>
    </row>
    <row r="63" spans="1:11" x14ac:dyDescent="0.3">
      <c r="A63" t="s">
        <v>219</v>
      </c>
      <c r="B63" t="s">
        <v>50</v>
      </c>
      <c r="C63">
        <v>42</v>
      </c>
      <c r="D63">
        <v>21</v>
      </c>
      <c r="E63">
        <v>3</v>
      </c>
      <c r="F63">
        <v>3</v>
      </c>
      <c r="G63">
        <v>200</v>
      </c>
      <c r="H63">
        <v>0</v>
      </c>
      <c r="I63">
        <v>0</v>
      </c>
      <c r="J63">
        <v>0</v>
      </c>
      <c r="K63">
        <v>0</v>
      </c>
    </row>
    <row r="64" spans="1:11" x14ac:dyDescent="0.3">
      <c r="A64" t="s">
        <v>219</v>
      </c>
      <c r="B64" t="s">
        <v>8</v>
      </c>
      <c r="C64">
        <v>65</v>
      </c>
      <c r="D64">
        <v>40</v>
      </c>
      <c r="E64">
        <v>6</v>
      </c>
      <c r="F64">
        <v>2</v>
      </c>
      <c r="G64">
        <v>162.5</v>
      </c>
      <c r="H64">
        <v>0</v>
      </c>
      <c r="I64">
        <v>0</v>
      </c>
      <c r="J64">
        <v>0</v>
      </c>
      <c r="K64">
        <v>0</v>
      </c>
    </row>
    <row r="65" spans="1:11" x14ac:dyDescent="0.3">
      <c r="A65" t="s">
        <v>220</v>
      </c>
      <c r="B65" t="s">
        <v>71</v>
      </c>
      <c r="C65">
        <v>0</v>
      </c>
      <c r="D65">
        <v>0</v>
      </c>
      <c r="E65">
        <v>0</v>
      </c>
      <c r="F65">
        <v>0</v>
      </c>
      <c r="G65">
        <v>0</v>
      </c>
      <c r="H65">
        <v>4</v>
      </c>
      <c r="I65">
        <v>25</v>
      </c>
      <c r="J65">
        <v>2</v>
      </c>
      <c r="K65">
        <v>6.25</v>
      </c>
    </row>
    <row r="66" spans="1:11" x14ac:dyDescent="0.3">
      <c r="A66" t="s">
        <v>220</v>
      </c>
      <c r="B66" t="s">
        <v>78</v>
      </c>
      <c r="C66">
        <v>0</v>
      </c>
      <c r="D66">
        <v>0</v>
      </c>
      <c r="E66">
        <v>0</v>
      </c>
      <c r="F66">
        <v>0</v>
      </c>
      <c r="G66">
        <v>0</v>
      </c>
      <c r="H66">
        <v>4</v>
      </c>
      <c r="I66">
        <v>30</v>
      </c>
      <c r="J66">
        <v>1</v>
      </c>
      <c r="K66">
        <v>7.5</v>
      </c>
    </row>
    <row r="67" spans="1:11" x14ac:dyDescent="0.3">
      <c r="A67" t="s">
        <v>221</v>
      </c>
      <c r="B67" t="s">
        <v>93</v>
      </c>
      <c r="C67">
        <v>0</v>
      </c>
      <c r="D67">
        <v>0</v>
      </c>
      <c r="E67">
        <v>0</v>
      </c>
      <c r="F67">
        <v>0</v>
      </c>
      <c r="G67">
        <v>0</v>
      </c>
      <c r="H67">
        <v>4</v>
      </c>
      <c r="I67">
        <v>20</v>
      </c>
      <c r="J67">
        <v>3</v>
      </c>
      <c r="K67">
        <v>5</v>
      </c>
    </row>
    <row r="68" spans="1:11" x14ac:dyDescent="0.3">
      <c r="A68" t="s">
        <v>221</v>
      </c>
      <c r="B68" t="s">
        <v>30</v>
      </c>
      <c r="C68">
        <v>20</v>
      </c>
      <c r="D68">
        <v>15</v>
      </c>
      <c r="E68">
        <v>1</v>
      </c>
      <c r="F68">
        <v>1</v>
      </c>
      <c r="G68">
        <v>133.33000000000001</v>
      </c>
      <c r="H68">
        <v>0</v>
      </c>
      <c r="I68">
        <v>0</v>
      </c>
      <c r="J68">
        <v>0</v>
      </c>
      <c r="K68">
        <v>0</v>
      </c>
    </row>
    <row r="69" spans="1:11" x14ac:dyDescent="0.3">
      <c r="A69" t="s">
        <v>222</v>
      </c>
      <c r="B69" t="s">
        <v>55</v>
      </c>
      <c r="C69">
        <v>90</v>
      </c>
      <c r="D69">
        <v>48</v>
      </c>
      <c r="E69">
        <v>8</v>
      </c>
      <c r="F69">
        <v>5</v>
      </c>
      <c r="G69">
        <v>187.5</v>
      </c>
      <c r="H69">
        <v>4</v>
      </c>
      <c r="I69">
        <v>35</v>
      </c>
      <c r="J69">
        <v>1</v>
      </c>
      <c r="K69">
        <v>8.75</v>
      </c>
    </row>
    <row r="70" spans="1:11" x14ac:dyDescent="0.3">
      <c r="A70" t="s">
        <v>222</v>
      </c>
      <c r="B70" t="s">
        <v>63</v>
      </c>
      <c r="C70">
        <v>55</v>
      </c>
      <c r="D70">
        <v>35</v>
      </c>
      <c r="E70">
        <v>5</v>
      </c>
      <c r="F70">
        <v>2</v>
      </c>
      <c r="G70">
        <v>157.13999999999999</v>
      </c>
      <c r="H70">
        <v>0</v>
      </c>
      <c r="I70">
        <v>0</v>
      </c>
      <c r="J70">
        <v>0</v>
      </c>
      <c r="K70">
        <v>0</v>
      </c>
    </row>
    <row r="71" spans="1:11" x14ac:dyDescent="0.3">
      <c r="A71" t="s">
        <v>223</v>
      </c>
      <c r="B71" t="s">
        <v>101</v>
      </c>
      <c r="C71">
        <v>110</v>
      </c>
      <c r="D71">
        <v>60</v>
      </c>
      <c r="E71">
        <v>10</v>
      </c>
      <c r="F71">
        <v>6</v>
      </c>
      <c r="G71">
        <v>183.33</v>
      </c>
      <c r="H71">
        <v>0</v>
      </c>
      <c r="I71">
        <v>0</v>
      </c>
      <c r="J71">
        <v>0</v>
      </c>
      <c r="K71">
        <v>0</v>
      </c>
    </row>
    <row r="72" spans="1:11" x14ac:dyDescent="0.3">
      <c r="A72" t="s">
        <v>223</v>
      </c>
      <c r="B72" t="s">
        <v>45</v>
      </c>
      <c r="C72">
        <v>0</v>
      </c>
      <c r="D72">
        <v>0</v>
      </c>
      <c r="E72">
        <v>0</v>
      </c>
      <c r="F72">
        <v>0</v>
      </c>
      <c r="G72">
        <v>0</v>
      </c>
      <c r="H72">
        <v>4</v>
      </c>
      <c r="I72">
        <v>45</v>
      </c>
      <c r="J72">
        <v>1</v>
      </c>
      <c r="K72">
        <v>11.25</v>
      </c>
    </row>
    <row r="73" spans="1:11" x14ac:dyDescent="0.3">
      <c r="A73" t="s">
        <v>224</v>
      </c>
      <c r="B73" t="s">
        <v>27</v>
      </c>
      <c r="C73">
        <v>30</v>
      </c>
      <c r="D73">
        <v>20</v>
      </c>
      <c r="E73">
        <v>2</v>
      </c>
      <c r="F73">
        <v>2</v>
      </c>
      <c r="G73">
        <v>150</v>
      </c>
      <c r="H73">
        <v>4</v>
      </c>
      <c r="I73">
        <v>25</v>
      </c>
      <c r="J73">
        <v>2</v>
      </c>
      <c r="K73">
        <v>6.25</v>
      </c>
    </row>
    <row r="74" spans="1:11" x14ac:dyDescent="0.3">
      <c r="A74" t="s">
        <v>224</v>
      </c>
      <c r="B74" t="s">
        <v>88</v>
      </c>
      <c r="C74">
        <v>0</v>
      </c>
      <c r="D74">
        <v>0</v>
      </c>
      <c r="E74">
        <v>0</v>
      </c>
      <c r="F74">
        <v>0</v>
      </c>
      <c r="G74">
        <v>0</v>
      </c>
      <c r="H74">
        <v>4</v>
      </c>
      <c r="I74">
        <v>38</v>
      </c>
      <c r="J74">
        <v>1</v>
      </c>
      <c r="K74">
        <v>9.5</v>
      </c>
    </row>
    <row r="75" spans="1:11" x14ac:dyDescent="0.3">
      <c r="A75" t="s">
        <v>225</v>
      </c>
      <c r="B75" t="s">
        <v>80</v>
      </c>
      <c r="C75">
        <v>0</v>
      </c>
      <c r="D75">
        <v>0</v>
      </c>
      <c r="E75">
        <v>0</v>
      </c>
      <c r="F75">
        <v>0</v>
      </c>
      <c r="G75">
        <v>0</v>
      </c>
      <c r="H75">
        <v>3.3</v>
      </c>
      <c r="I75">
        <v>18</v>
      </c>
      <c r="J75">
        <v>4</v>
      </c>
      <c r="K75">
        <v>5.14</v>
      </c>
    </row>
    <row r="76" spans="1:11" x14ac:dyDescent="0.3">
      <c r="A76" t="s">
        <v>225</v>
      </c>
      <c r="B76" t="s">
        <v>103</v>
      </c>
      <c r="C76">
        <v>35</v>
      </c>
      <c r="D76">
        <v>28</v>
      </c>
      <c r="E76">
        <v>3</v>
      </c>
      <c r="F76">
        <v>1</v>
      </c>
      <c r="G76">
        <v>125</v>
      </c>
      <c r="H76">
        <v>0</v>
      </c>
      <c r="I76">
        <v>0</v>
      </c>
      <c r="J76">
        <v>0</v>
      </c>
      <c r="K76">
        <v>0</v>
      </c>
    </row>
    <row r="77" spans="1:11" x14ac:dyDescent="0.3">
      <c r="A77" t="s">
        <v>226</v>
      </c>
      <c r="B77" t="s">
        <v>33</v>
      </c>
      <c r="C77">
        <v>0</v>
      </c>
      <c r="D77">
        <v>0</v>
      </c>
      <c r="E77">
        <v>0</v>
      </c>
      <c r="F77">
        <v>0</v>
      </c>
      <c r="G77">
        <v>0</v>
      </c>
      <c r="H77">
        <v>4</v>
      </c>
      <c r="I77">
        <v>22</v>
      </c>
      <c r="J77">
        <v>2</v>
      </c>
      <c r="K77">
        <v>5.5</v>
      </c>
    </row>
    <row r="78" spans="1:11" x14ac:dyDescent="0.3">
      <c r="A78" t="s">
        <v>226</v>
      </c>
      <c r="B78" t="s">
        <v>69</v>
      </c>
      <c r="C78">
        <v>45</v>
      </c>
      <c r="D78">
        <v>30</v>
      </c>
      <c r="E78">
        <v>4</v>
      </c>
      <c r="F78">
        <v>2</v>
      </c>
      <c r="G78">
        <v>150</v>
      </c>
      <c r="H78">
        <v>0</v>
      </c>
      <c r="I78">
        <v>0</v>
      </c>
      <c r="J78">
        <v>0</v>
      </c>
      <c r="K78">
        <v>0</v>
      </c>
    </row>
    <row r="79" spans="1:11" x14ac:dyDescent="0.3">
      <c r="A79" t="s">
        <v>227</v>
      </c>
      <c r="B79" t="s">
        <v>42</v>
      </c>
      <c r="C79">
        <v>120</v>
      </c>
      <c r="D79">
        <v>60</v>
      </c>
      <c r="E79">
        <v>12</v>
      </c>
      <c r="F79">
        <v>7</v>
      </c>
      <c r="G79">
        <v>200</v>
      </c>
      <c r="H79">
        <v>0</v>
      </c>
      <c r="I79">
        <v>0</v>
      </c>
      <c r="J79">
        <v>0</v>
      </c>
      <c r="K79">
        <v>0</v>
      </c>
    </row>
    <row r="80" spans="1:11" x14ac:dyDescent="0.3">
      <c r="A80" t="s">
        <v>227</v>
      </c>
      <c r="B80" t="s">
        <v>58</v>
      </c>
      <c r="C80">
        <v>10</v>
      </c>
      <c r="D80">
        <v>8</v>
      </c>
      <c r="E80">
        <v>0</v>
      </c>
      <c r="F80">
        <v>1</v>
      </c>
      <c r="G80">
        <v>125</v>
      </c>
      <c r="H80">
        <v>4</v>
      </c>
      <c r="I80">
        <v>30</v>
      </c>
      <c r="J80">
        <v>1</v>
      </c>
      <c r="K80">
        <v>7.5</v>
      </c>
    </row>
    <row r="81" spans="1:11" x14ac:dyDescent="0.3">
      <c r="A81" t="s">
        <v>228</v>
      </c>
      <c r="B81" t="s">
        <v>83</v>
      </c>
      <c r="C81">
        <v>85</v>
      </c>
      <c r="D81">
        <v>55</v>
      </c>
      <c r="E81">
        <v>9</v>
      </c>
      <c r="F81">
        <v>2</v>
      </c>
      <c r="G81">
        <v>154.55000000000001</v>
      </c>
      <c r="H81">
        <v>0</v>
      </c>
      <c r="I81">
        <v>0</v>
      </c>
      <c r="J81">
        <v>0</v>
      </c>
      <c r="K81">
        <v>0</v>
      </c>
    </row>
    <row r="82" spans="1:11" x14ac:dyDescent="0.3">
      <c r="A82" t="s">
        <v>228</v>
      </c>
      <c r="B82" t="s">
        <v>93</v>
      </c>
      <c r="C82">
        <v>0</v>
      </c>
      <c r="D82">
        <v>0</v>
      </c>
      <c r="E82">
        <v>0</v>
      </c>
      <c r="F82">
        <v>0</v>
      </c>
      <c r="G82">
        <v>0</v>
      </c>
      <c r="H82">
        <v>4</v>
      </c>
      <c r="I82">
        <v>45</v>
      </c>
      <c r="J82">
        <v>0</v>
      </c>
      <c r="K82">
        <v>11.25</v>
      </c>
    </row>
    <row r="83" spans="1:11" x14ac:dyDescent="0.3">
      <c r="A83" t="s">
        <v>229</v>
      </c>
      <c r="B83" t="s">
        <v>96</v>
      </c>
      <c r="C83">
        <v>70</v>
      </c>
      <c r="D83">
        <v>40</v>
      </c>
      <c r="E83">
        <v>7</v>
      </c>
      <c r="F83">
        <v>3</v>
      </c>
      <c r="G83">
        <v>175</v>
      </c>
      <c r="H83">
        <v>0</v>
      </c>
      <c r="I83">
        <v>0</v>
      </c>
      <c r="J83">
        <v>0</v>
      </c>
      <c r="K83">
        <v>0</v>
      </c>
    </row>
    <row r="84" spans="1:11" x14ac:dyDescent="0.3">
      <c r="A84" t="s">
        <v>229</v>
      </c>
      <c r="B84" t="s">
        <v>15</v>
      </c>
      <c r="C84">
        <v>0</v>
      </c>
      <c r="D84">
        <v>0</v>
      </c>
      <c r="E84">
        <v>0</v>
      </c>
      <c r="F84">
        <v>0</v>
      </c>
      <c r="G84">
        <v>0</v>
      </c>
      <c r="H84">
        <v>4</v>
      </c>
      <c r="I84">
        <v>29</v>
      </c>
      <c r="J84">
        <v>2</v>
      </c>
      <c r="K84">
        <v>7.25</v>
      </c>
    </row>
    <row r="85" spans="1:11" x14ac:dyDescent="0.3">
      <c r="A85" t="s">
        <v>230</v>
      </c>
      <c r="B85" t="s">
        <v>63</v>
      </c>
      <c r="C85">
        <v>90</v>
      </c>
      <c r="D85">
        <v>50</v>
      </c>
      <c r="E85">
        <v>9</v>
      </c>
      <c r="F85">
        <v>4</v>
      </c>
      <c r="G85">
        <v>180</v>
      </c>
      <c r="H85">
        <v>0</v>
      </c>
      <c r="I85">
        <v>0</v>
      </c>
      <c r="J85">
        <v>0</v>
      </c>
      <c r="K85">
        <v>0</v>
      </c>
    </row>
    <row r="86" spans="1:11" x14ac:dyDescent="0.3">
      <c r="A86" t="s">
        <v>230</v>
      </c>
      <c r="B86" t="s">
        <v>36</v>
      </c>
      <c r="C86">
        <v>30</v>
      </c>
      <c r="D86">
        <v>20</v>
      </c>
      <c r="E86">
        <v>2</v>
      </c>
      <c r="F86">
        <v>2</v>
      </c>
      <c r="G86">
        <v>150</v>
      </c>
      <c r="H86">
        <v>0</v>
      </c>
      <c r="I86">
        <v>0</v>
      </c>
      <c r="J86">
        <v>0</v>
      </c>
      <c r="K86">
        <v>0</v>
      </c>
    </row>
    <row r="87" spans="1:11" x14ac:dyDescent="0.3">
      <c r="A87" t="s">
        <v>231</v>
      </c>
      <c r="B87" t="s">
        <v>45</v>
      </c>
      <c r="C87">
        <v>0</v>
      </c>
      <c r="D87">
        <v>0</v>
      </c>
      <c r="E87">
        <v>0</v>
      </c>
      <c r="F87">
        <v>0</v>
      </c>
      <c r="G87">
        <v>0</v>
      </c>
      <c r="H87">
        <v>4</v>
      </c>
      <c r="I87">
        <v>25</v>
      </c>
      <c r="J87">
        <v>3</v>
      </c>
      <c r="K87">
        <v>6.25</v>
      </c>
    </row>
    <row r="88" spans="1:11" x14ac:dyDescent="0.3">
      <c r="A88" t="s">
        <v>231</v>
      </c>
      <c r="B88" t="s">
        <v>19</v>
      </c>
      <c r="C88">
        <v>5</v>
      </c>
      <c r="D88">
        <v>10</v>
      </c>
      <c r="E88">
        <v>0</v>
      </c>
      <c r="F88">
        <v>0</v>
      </c>
      <c r="G88">
        <v>50</v>
      </c>
      <c r="H88">
        <v>0</v>
      </c>
      <c r="I88">
        <v>0</v>
      </c>
      <c r="J88">
        <v>0</v>
      </c>
      <c r="K88">
        <v>0</v>
      </c>
    </row>
    <row r="89" spans="1:11" x14ac:dyDescent="0.3">
      <c r="A89" t="s">
        <v>232</v>
      </c>
      <c r="B89" t="s">
        <v>52</v>
      </c>
      <c r="C89">
        <v>105</v>
      </c>
      <c r="D89">
        <v>55</v>
      </c>
      <c r="E89">
        <v>10</v>
      </c>
      <c r="F89">
        <v>5</v>
      </c>
      <c r="G89">
        <v>190.91</v>
      </c>
      <c r="H89">
        <v>0</v>
      </c>
      <c r="I89">
        <v>0</v>
      </c>
      <c r="J89">
        <v>0</v>
      </c>
      <c r="K89">
        <v>0</v>
      </c>
    </row>
    <row r="90" spans="1:11" x14ac:dyDescent="0.3">
      <c r="A90" t="s">
        <v>232</v>
      </c>
      <c r="B90" t="s">
        <v>78</v>
      </c>
      <c r="C90">
        <v>0</v>
      </c>
      <c r="D90">
        <v>0</v>
      </c>
      <c r="E90">
        <v>0</v>
      </c>
      <c r="F90">
        <v>0</v>
      </c>
      <c r="G90">
        <v>0</v>
      </c>
      <c r="H90">
        <v>4</v>
      </c>
      <c r="I90">
        <v>40</v>
      </c>
      <c r="J90">
        <v>1</v>
      </c>
      <c r="K90">
        <v>10</v>
      </c>
    </row>
    <row r="91" spans="1:11" x14ac:dyDescent="0.3">
      <c r="A91" t="s">
        <v>233</v>
      </c>
      <c r="B91" t="s">
        <v>103</v>
      </c>
      <c r="C91">
        <v>95</v>
      </c>
      <c r="D91">
        <v>58</v>
      </c>
      <c r="E91">
        <v>10</v>
      </c>
      <c r="F91">
        <v>4</v>
      </c>
      <c r="G91">
        <v>163.79</v>
      </c>
      <c r="H91">
        <v>0</v>
      </c>
      <c r="I91">
        <v>0</v>
      </c>
      <c r="J91">
        <v>0</v>
      </c>
      <c r="K91">
        <v>0</v>
      </c>
    </row>
    <row r="92" spans="1:11" x14ac:dyDescent="0.3">
      <c r="A92" t="s">
        <v>233</v>
      </c>
      <c r="B92" t="s">
        <v>63</v>
      </c>
      <c r="C92">
        <v>45</v>
      </c>
      <c r="D92">
        <v>35</v>
      </c>
      <c r="E92">
        <v>4</v>
      </c>
      <c r="F92">
        <v>1</v>
      </c>
      <c r="G92">
        <v>128.57</v>
      </c>
      <c r="H92">
        <v>0</v>
      </c>
      <c r="I92">
        <v>0</v>
      </c>
      <c r="J92">
        <v>0</v>
      </c>
      <c r="K92">
        <v>0</v>
      </c>
    </row>
    <row r="93" spans="1:11" x14ac:dyDescent="0.3">
      <c r="A93" t="s">
        <v>234</v>
      </c>
      <c r="B93" t="s">
        <v>30</v>
      </c>
      <c r="C93">
        <v>58</v>
      </c>
      <c r="D93">
        <v>32</v>
      </c>
      <c r="E93">
        <v>6</v>
      </c>
      <c r="F93">
        <v>3</v>
      </c>
      <c r="G93">
        <v>181.25</v>
      </c>
      <c r="H93">
        <v>0</v>
      </c>
      <c r="I93">
        <v>0</v>
      </c>
      <c r="J93">
        <v>0</v>
      </c>
      <c r="K93">
        <v>0</v>
      </c>
    </row>
    <row r="94" spans="1:11" x14ac:dyDescent="0.3">
      <c r="A94" t="s">
        <v>234</v>
      </c>
      <c r="B94" t="s">
        <v>74</v>
      </c>
      <c r="C94">
        <v>40</v>
      </c>
      <c r="D94">
        <v>28</v>
      </c>
      <c r="E94">
        <v>3</v>
      </c>
      <c r="F94">
        <v>1</v>
      </c>
      <c r="G94">
        <v>142.86000000000001</v>
      </c>
      <c r="H94">
        <v>0</v>
      </c>
      <c r="I94">
        <v>0</v>
      </c>
      <c r="J94">
        <v>0</v>
      </c>
      <c r="K94">
        <v>0</v>
      </c>
    </row>
    <row r="95" spans="1:11" x14ac:dyDescent="0.3">
      <c r="A95" t="s">
        <v>235</v>
      </c>
      <c r="B95" t="s">
        <v>55</v>
      </c>
      <c r="C95">
        <v>34</v>
      </c>
      <c r="D95">
        <v>18</v>
      </c>
      <c r="E95">
        <v>2</v>
      </c>
      <c r="F95">
        <v>3</v>
      </c>
      <c r="G95">
        <v>188.89</v>
      </c>
      <c r="H95">
        <v>4</v>
      </c>
      <c r="I95">
        <v>38</v>
      </c>
      <c r="J95">
        <v>3</v>
      </c>
      <c r="K95">
        <v>9.5</v>
      </c>
    </row>
    <row r="96" spans="1:11" x14ac:dyDescent="0.3">
      <c r="A96" t="s">
        <v>235</v>
      </c>
      <c r="B96" t="s">
        <v>88</v>
      </c>
      <c r="C96">
        <v>0</v>
      </c>
      <c r="D96">
        <v>0</v>
      </c>
      <c r="E96">
        <v>0</v>
      </c>
      <c r="F96">
        <v>0</v>
      </c>
      <c r="G96">
        <v>0</v>
      </c>
      <c r="H96">
        <v>4</v>
      </c>
      <c r="I96">
        <v>30</v>
      </c>
      <c r="J96">
        <v>2</v>
      </c>
      <c r="K96">
        <v>7.5</v>
      </c>
    </row>
    <row r="97" spans="1:11" x14ac:dyDescent="0.3">
      <c r="A97" t="s">
        <v>236</v>
      </c>
      <c r="B97" t="s">
        <v>74</v>
      </c>
      <c r="C97">
        <v>65</v>
      </c>
      <c r="D97">
        <v>40</v>
      </c>
      <c r="E97">
        <v>7</v>
      </c>
      <c r="F97">
        <v>2</v>
      </c>
      <c r="G97">
        <v>162.5</v>
      </c>
      <c r="H97">
        <v>0</v>
      </c>
      <c r="I97">
        <v>0</v>
      </c>
      <c r="J97">
        <v>0</v>
      </c>
      <c r="K97">
        <v>0</v>
      </c>
    </row>
    <row r="98" spans="1:11" x14ac:dyDescent="0.3">
      <c r="A98" t="s">
        <v>236</v>
      </c>
      <c r="B98" t="s">
        <v>15</v>
      </c>
      <c r="C98">
        <v>0</v>
      </c>
      <c r="D98">
        <v>0</v>
      </c>
      <c r="E98">
        <v>0</v>
      </c>
      <c r="F98">
        <v>0</v>
      </c>
      <c r="G98">
        <v>0</v>
      </c>
      <c r="H98">
        <v>3.2</v>
      </c>
      <c r="I98">
        <v>25</v>
      </c>
      <c r="J98">
        <v>3</v>
      </c>
      <c r="K98">
        <v>7.5</v>
      </c>
    </row>
    <row r="99" spans="1:11" x14ac:dyDescent="0.3">
      <c r="A99" t="s">
        <v>237</v>
      </c>
      <c r="B99" t="s">
        <v>83</v>
      </c>
      <c r="C99">
        <v>88</v>
      </c>
      <c r="D99">
        <v>52</v>
      </c>
      <c r="E99">
        <v>8</v>
      </c>
      <c r="F99">
        <v>3</v>
      </c>
      <c r="G99">
        <v>169.23</v>
      </c>
      <c r="H99">
        <v>0</v>
      </c>
      <c r="I99">
        <v>0</v>
      </c>
      <c r="J99">
        <v>0</v>
      </c>
      <c r="K99">
        <v>0</v>
      </c>
    </row>
    <row r="100" spans="1:11" x14ac:dyDescent="0.3">
      <c r="A100" t="s">
        <v>237</v>
      </c>
      <c r="B100" t="s">
        <v>42</v>
      </c>
      <c r="C100">
        <v>5</v>
      </c>
      <c r="D100">
        <v>7</v>
      </c>
      <c r="E100">
        <v>0</v>
      </c>
      <c r="F100">
        <v>0</v>
      </c>
      <c r="G100">
        <v>71.430000000000007</v>
      </c>
      <c r="H100">
        <v>0</v>
      </c>
      <c r="I100">
        <v>0</v>
      </c>
      <c r="J100">
        <v>0</v>
      </c>
      <c r="K100">
        <v>0</v>
      </c>
    </row>
    <row r="101" spans="1:11" x14ac:dyDescent="0.3">
      <c r="A101" t="s">
        <v>238</v>
      </c>
      <c r="B101" t="s">
        <v>58</v>
      </c>
      <c r="C101">
        <v>18</v>
      </c>
      <c r="D101">
        <v>10</v>
      </c>
      <c r="E101">
        <v>1</v>
      </c>
      <c r="F101">
        <v>1</v>
      </c>
      <c r="G101">
        <v>180</v>
      </c>
      <c r="H101">
        <v>4</v>
      </c>
      <c r="I101">
        <v>22</v>
      </c>
      <c r="J101">
        <v>2</v>
      </c>
      <c r="K101">
        <v>5.5</v>
      </c>
    </row>
    <row r="102" spans="1:11" x14ac:dyDescent="0.3">
      <c r="A102" t="s">
        <v>238</v>
      </c>
      <c r="B102" t="s">
        <v>71</v>
      </c>
      <c r="C102">
        <v>0</v>
      </c>
      <c r="D102">
        <v>0</v>
      </c>
      <c r="E102">
        <v>0</v>
      </c>
      <c r="F102">
        <v>0</v>
      </c>
      <c r="G102">
        <v>0</v>
      </c>
      <c r="H102">
        <v>4</v>
      </c>
      <c r="I102">
        <v>25</v>
      </c>
      <c r="J102">
        <v>1</v>
      </c>
      <c r="K102">
        <v>6.25</v>
      </c>
    </row>
    <row r="103" spans="1:11" x14ac:dyDescent="0.3">
      <c r="A103" t="s">
        <v>239</v>
      </c>
      <c r="B103" t="s">
        <v>33</v>
      </c>
      <c r="C103">
        <v>0</v>
      </c>
      <c r="D103">
        <v>0</v>
      </c>
      <c r="E103">
        <v>0</v>
      </c>
      <c r="F103">
        <v>0</v>
      </c>
      <c r="G103">
        <v>0</v>
      </c>
      <c r="H103">
        <v>4</v>
      </c>
      <c r="I103">
        <v>24</v>
      </c>
      <c r="J103">
        <v>3</v>
      </c>
      <c r="K103">
        <v>6</v>
      </c>
    </row>
    <row r="104" spans="1:11" x14ac:dyDescent="0.3">
      <c r="A104" t="s">
        <v>239</v>
      </c>
      <c r="B104" t="s">
        <v>27</v>
      </c>
      <c r="C104">
        <v>35</v>
      </c>
      <c r="D104">
        <v>25</v>
      </c>
      <c r="E104">
        <v>2</v>
      </c>
      <c r="F104">
        <v>2</v>
      </c>
      <c r="G104">
        <v>140</v>
      </c>
      <c r="H104">
        <v>0</v>
      </c>
      <c r="I104">
        <v>0</v>
      </c>
      <c r="J104">
        <v>0</v>
      </c>
      <c r="K104">
        <v>0</v>
      </c>
    </row>
    <row r="105" spans="1:11" x14ac:dyDescent="0.3">
      <c r="A105" t="s">
        <v>240</v>
      </c>
      <c r="B105" t="s">
        <v>101</v>
      </c>
      <c r="C105">
        <v>56</v>
      </c>
      <c r="D105">
        <v>28</v>
      </c>
      <c r="E105">
        <v>3</v>
      </c>
      <c r="F105">
        <v>5</v>
      </c>
      <c r="G105">
        <v>200</v>
      </c>
      <c r="H105">
        <v>0</v>
      </c>
      <c r="I105">
        <v>0</v>
      </c>
      <c r="J105">
        <v>0</v>
      </c>
      <c r="K105">
        <v>0</v>
      </c>
    </row>
    <row r="106" spans="1:11" x14ac:dyDescent="0.3">
      <c r="A106" t="s">
        <v>240</v>
      </c>
      <c r="B106" t="s">
        <v>52</v>
      </c>
      <c r="C106">
        <v>22</v>
      </c>
      <c r="D106">
        <v>19</v>
      </c>
      <c r="E106">
        <v>1</v>
      </c>
      <c r="F106">
        <v>0</v>
      </c>
      <c r="G106">
        <v>115.79</v>
      </c>
      <c r="H106">
        <v>0</v>
      </c>
      <c r="I106">
        <v>0</v>
      </c>
      <c r="J106">
        <v>0</v>
      </c>
      <c r="K106">
        <v>0</v>
      </c>
    </row>
    <row r="107" spans="1:11" x14ac:dyDescent="0.3">
      <c r="A107" t="s">
        <v>241</v>
      </c>
      <c r="B107" t="s">
        <v>60</v>
      </c>
      <c r="C107">
        <v>0</v>
      </c>
      <c r="D107">
        <v>0</v>
      </c>
      <c r="E107">
        <v>0</v>
      </c>
      <c r="F107">
        <v>0</v>
      </c>
      <c r="G107">
        <v>0</v>
      </c>
      <c r="H107">
        <v>3.3</v>
      </c>
      <c r="I107">
        <v>19</v>
      </c>
      <c r="J107">
        <v>4</v>
      </c>
      <c r="K107">
        <v>5.43</v>
      </c>
    </row>
    <row r="108" spans="1:11" x14ac:dyDescent="0.3">
      <c r="A108" t="s">
        <v>241</v>
      </c>
      <c r="B108" t="s">
        <v>42</v>
      </c>
      <c r="C108">
        <v>40</v>
      </c>
      <c r="D108">
        <v>30</v>
      </c>
      <c r="E108">
        <v>3</v>
      </c>
      <c r="F108">
        <v>1</v>
      </c>
      <c r="G108">
        <v>133.33000000000001</v>
      </c>
      <c r="H108">
        <v>0</v>
      </c>
      <c r="I108">
        <v>0</v>
      </c>
      <c r="J108">
        <v>0</v>
      </c>
      <c r="K108">
        <v>0</v>
      </c>
    </row>
    <row r="109" spans="1:11" x14ac:dyDescent="0.3">
      <c r="A109" t="s">
        <v>242</v>
      </c>
      <c r="B109" t="s">
        <v>66</v>
      </c>
      <c r="C109">
        <v>0</v>
      </c>
      <c r="D109">
        <v>0</v>
      </c>
      <c r="E109">
        <v>0</v>
      </c>
      <c r="F109">
        <v>0</v>
      </c>
      <c r="G109">
        <v>0</v>
      </c>
      <c r="H109">
        <v>4</v>
      </c>
      <c r="I109">
        <v>17</v>
      </c>
      <c r="J109">
        <v>2</v>
      </c>
      <c r="K109">
        <v>4.25</v>
      </c>
    </row>
    <row r="110" spans="1:11" x14ac:dyDescent="0.3">
      <c r="A110" t="s">
        <v>242</v>
      </c>
      <c r="B110" t="s">
        <v>91</v>
      </c>
      <c r="C110">
        <v>12</v>
      </c>
      <c r="D110">
        <v>14</v>
      </c>
      <c r="E110">
        <v>1</v>
      </c>
      <c r="F110">
        <v>0</v>
      </c>
      <c r="G110">
        <v>85.71</v>
      </c>
      <c r="H110">
        <v>0</v>
      </c>
      <c r="I110">
        <v>0</v>
      </c>
      <c r="J110">
        <v>0</v>
      </c>
      <c r="K110">
        <v>0</v>
      </c>
    </row>
    <row r="111" spans="1:11" x14ac:dyDescent="0.3">
      <c r="A111" t="s">
        <v>243</v>
      </c>
      <c r="B111" t="s">
        <v>85</v>
      </c>
      <c r="C111">
        <v>75</v>
      </c>
      <c r="D111">
        <v>45</v>
      </c>
      <c r="E111">
        <v>5</v>
      </c>
      <c r="F111">
        <v>4</v>
      </c>
      <c r="G111">
        <v>166.67</v>
      </c>
      <c r="H111">
        <v>0</v>
      </c>
      <c r="I111">
        <v>0</v>
      </c>
      <c r="J111">
        <v>0</v>
      </c>
      <c r="K111">
        <v>0</v>
      </c>
    </row>
    <row r="112" spans="1:11" x14ac:dyDescent="0.3">
      <c r="A112" t="s">
        <v>243</v>
      </c>
      <c r="B112" t="s">
        <v>45</v>
      </c>
      <c r="C112">
        <v>25</v>
      </c>
      <c r="D112">
        <v>18</v>
      </c>
      <c r="E112">
        <v>1</v>
      </c>
      <c r="F112">
        <v>1</v>
      </c>
      <c r="G112">
        <v>138.88999999999999</v>
      </c>
      <c r="H112">
        <v>4</v>
      </c>
      <c r="I112">
        <v>35</v>
      </c>
      <c r="J112">
        <v>1</v>
      </c>
      <c r="K112">
        <v>8.75</v>
      </c>
    </row>
    <row r="113" spans="1:11" x14ac:dyDescent="0.3">
      <c r="A113" t="s">
        <v>244</v>
      </c>
      <c r="B113" t="s">
        <v>36</v>
      </c>
      <c r="C113">
        <v>48</v>
      </c>
      <c r="D113">
        <v>32</v>
      </c>
      <c r="E113">
        <v>4</v>
      </c>
      <c r="F113">
        <v>1</v>
      </c>
      <c r="G113">
        <v>150</v>
      </c>
      <c r="H113">
        <v>0</v>
      </c>
      <c r="I113">
        <v>0</v>
      </c>
      <c r="J113">
        <v>0</v>
      </c>
      <c r="K113">
        <v>0</v>
      </c>
    </row>
    <row r="114" spans="1:11" x14ac:dyDescent="0.3">
      <c r="A114" t="s">
        <v>244</v>
      </c>
      <c r="B114" t="s">
        <v>15</v>
      </c>
      <c r="C114">
        <v>0</v>
      </c>
      <c r="D114">
        <v>0</v>
      </c>
      <c r="E114">
        <v>0</v>
      </c>
      <c r="F114">
        <v>0</v>
      </c>
      <c r="G114">
        <v>0</v>
      </c>
      <c r="H114">
        <v>4</v>
      </c>
      <c r="I114">
        <v>30</v>
      </c>
      <c r="J114">
        <v>2</v>
      </c>
      <c r="K114">
        <v>7.5</v>
      </c>
    </row>
    <row r="115" spans="1:11" x14ac:dyDescent="0.3">
      <c r="A115" t="s">
        <v>245</v>
      </c>
      <c r="B115" t="s">
        <v>42</v>
      </c>
      <c r="C115">
        <v>105</v>
      </c>
      <c r="D115">
        <v>60</v>
      </c>
      <c r="E115">
        <v>12</v>
      </c>
      <c r="F115">
        <v>3</v>
      </c>
      <c r="G115">
        <v>175</v>
      </c>
      <c r="H115">
        <v>0</v>
      </c>
      <c r="I115">
        <v>0</v>
      </c>
      <c r="J115">
        <v>0</v>
      </c>
      <c r="K115">
        <v>0</v>
      </c>
    </row>
    <row r="116" spans="1:11" x14ac:dyDescent="0.3">
      <c r="A116" t="s">
        <v>245</v>
      </c>
      <c r="B116" t="s">
        <v>69</v>
      </c>
      <c r="C116">
        <v>0</v>
      </c>
      <c r="D116">
        <v>0</v>
      </c>
      <c r="E116">
        <v>0</v>
      </c>
      <c r="F116">
        <v>0</v>
      </c>
      <c r="G116">
        <v>0</v>
      </c>
      <c r="H116">
        <v>4</v>
      </c>
      <c r="I116">
        <v>40</v>
      </c>
      <c r="J116">
        <v>1</v>
      </c>
      <c r="K116">
        <v>10</v>
      </c>
    </row>
    <row r="117" spans="1:11" x14ac:dyDescent="0.3">
      <c r="A117" t="s">
        <v>246</v>
      </c>
      <c r="B117" t="s">
        <v>8</v>
      </c>
      <c r="C117">
        <v>88</v>
      </c>
      <c r="D117">
        <v>48</v>
      </c>
      <c r="E117">
        <v>9</v>
      </c>
      <c r="F117">
        <v>4</v>
      </c>
      <c r="G117">
        <v>183.33</v>
      </c>
      <c r="H117">
        <v>0</v>
      </c>
      <c r="I117">
        <v>0</v>
      </c>
      <c r="J117">
        <v>0</v>
      </c>
      <c r="K117">
        <v>0</v>
      </c>
    </row>
    <row r="118" spans="1:11" x14ac:dyDescent="0.3">
      <c r="A118" t="s">
        <v>246</v>
      </c>
      <c r="B118" t="s">
        <v>78</v>
      </c>
      <c r="C118">
        <v>0</v>
      </c>
      <c r="D118">
        <v>0</v>
      </c>
      <c r="E118">
        <v>0</v>
      </c>
      <c r="F118">
        <v>0</v>
      </c>
      <c r="G118">
        <v>0</v>
      </c>
      <c r="H118">
        <v>4</v>
      </c>
      <c r="I118">
        <v>30</v>
      </c>
      <c r="J118">
        <v>1</v>
      </c>
      <c r="K118">
        <v>7.5</v>
      </c>
    </row>
    <row r="119" spans="1:11" x14ac:dyDescent="0.3">
      <c r="A119" t="s">
        <v>247</v>
      </c>
      <c r="B119" t="s">
        <v>96</v>
      </c>
      <c r="C119">
        <v>65</v>
      </c>
      <c r="D119">
        <v>40</v>
      </c>
      <c r="E119">
        <v>6</v>
      </c>
      <c r="F119">
        <v>2</v>
      </c>
      <c r="G119">
        <v>162.5</v>
      </c>
      <c r="H119">
        <v>0</v>
      </c>
      <c r="I119">
        <v>0</v>
      </c>
      <c r="J119">
        <v>0</v>
      </c>
      <c r="K119">
        <v>0</v>
      </c>
    </row>
    <row r="120" spans="1:11" x14ac:dyDescent="0.3">
      <c r="A120" t="s">
        <v>247</v>
      </c>
      <c r="B120" t="s">
        <v>52</v>
      </c>
      <c r="C120">
        <v>10</v>
      </c>
      <c r="D120">
        <v>8</v>
      </c>
      <c r="E120">
        <v>0</v>
      </c>
      <c r="F120">
        <v>1</v>
      </c>
      <c r="G120">
        <v>125</v>
      </c>
      <c r="H120">
        <v>0</v>
      </c>
      <c r="I120">
        <v>0</v>
      </c>
      <c r="J120">
        <v>0</v>
      </c>
      <c r="K120">
        <v>0</v>
      </c>
    </row>
    <row r="121" spans="1:11" x14ac:dyDescent="0.3">
      <c r="A121" t="s">
        <v>248</v>
      </c>
      <c r="B121" t="s">
        <v>88</v>
      </c>
      <c r="C121">
        <v>0</v>
      </c>
      <c r="D121">
        <v>0</v>
      </c>
      <c r="E121">
        <v>0</v>
      </c>
      <c r="F121">
        <v>0</v>
      </c>
      <c r="G121">
        <v>0</v>
      </c>
      <c r="H121">
        <v>4</v>
      </c>
      <c r="I121">
        <v>22</v>
      </c>
      <c r="J121">
        <v>3</v>
      </c>
      <c r="K121">
        <v>5.5</v>
      </c>
    </row>
    <row r="122" spans="1:11" x14ac:dyDescent="0.3">
      <c r="A122" t="s">
        <v>248</v>
      </c>
      <c r="B122" t="s">
        <v>19</v>
      </c>
      <c r="C122">
        <v>40</v>
      </c>
      <c r="D122">
        <v>30</v>
      </c>
      <c r="E122">
        <v>4</v>
      </c>
      <c r="F122">
        <v>1</v>
      </c>
      <c r="G122">
        <v>133.33000000000001</v>
      </c>
      <c r="H122">
        <v>0</v>
      </c>
      <c r="I122">
        <v>0</v>
      </c>
      <c r="J122">
        <v>0</v>
      </c>
      <c r="K122">
        <v>0</v>
      </c>
    </row>
    <row r="123" spans="1:11" x14ac:dyDescent="0.3">
      <c r="A123" t="s">
        <v>258</v>
      </c>
      <c r="B123" t="s">
        <v>30</v>
      </c>
      <c r="C123">
        <v>60</v>
      </c>
      <c r="D123">
        <v>35</v>
      </c>
      <c r="E123">
        <v>7</v>
      </c>
      <c r="F123">
        <v>2</v>
      </c>
      <c r="G123">
        <v>171.43</v>
      </c>
      <c r="H123">
        <v>0</v>
      </c>
      <c r="I123">
        <v>0</v>
      </c>
      <c r="J123">
        <v>0</v>
      </c>
      <c r="K123">
        <v>0</v>
      </c>
    </row>
    <row r="124" spans="1:11" x14ac:dyDescent="0.3">
      <c r="A124" t="s">
        <v>259</v>
      </c>
      <c r="B124" t="s">
        <v>103</v>
      </c>
      <c r="C124">
        <v>75</v>
      </c>
      <c r="D124">
        <v>45</v>
      </c>
      <c r="E124">
        <v>8</v>
      </c>
      <c r="F124">
        <v>3</v>
      </c>
      <c r="G124">
        <v>166.67</v>
      </c>
      <c r="H124">
        <v>0</v>
      </c>
      <c r="I124">
        <v>0</v>
      </c>
      <c r="J124">
        <v>0</v>
      </c>
      <c r="K124">
        <v>0</v>
      </c>
    </row>
    <row r="125" spans="1:11" x14ac:dyDescent="0.3">
      <c r="A125" t="s">
        <v>260</v>
      </c>
      <c r="B125" t="s">
        <v>55</v>
      </c>
      <c r="C125">
        <v>45</v>
      </c>
      <c r="D125">
        <v>25</v>
      </c>
      <c r="E125">
        <v>3</v>
      </c>
      <c r="F125">
        <v>4</v>
      </c>
      <c r="G125">
        <v>180</v>
      </c>
      <c r="H125">
        <v>4</v>
      </c>
      <c r="I125">
        <v>35</v>
      </c>
      <c r="J125">
        <v>2</v>
      </c>
      <c r="K125">
        <v>8.75</v>
      </c>
    </row>
    <row r="126" spans="1:11" x14ac:dyDescent="0.3">
      <c r="A126" t="s">
        <v>261</v>
      </c>
      <c r="B126" t="s">
        <v>74</v>
      </c>
      <c r="C126">
        <v>90</v>
      </c>
      <c r="D126">
        <v>50</v>
      </c>
      <c r="E126">
        <v>9</v>
      </c>
      <c r="F126">
        <v>3</v>
      </c>
      <c r="G126">
        <v>180</v>
      </c>
      <c r="H126">
        <v>0</v>
      </c>
      <c r="I126">
        <v>0</v>
      </c>
      <c r="J126">
        <v>0</v>
      </c>
      <c r="K126">
        <v>0</v>
      </c>
    </row>
    <row r="127" spans="1:11" x14ac:dyDescent="0.3">
      <c r="A127" t="s">
        <v>262</v>
      </c>
      <c r="B127" t="s">
        <v>83</v>
      </c>
      <c r="C127">
        <v>50</v>
      </c>
      <c r="D127">
        <v>30</v>
      </c>
      <c r="E127">
        <v>5</v>
      </c>
      <c r="F127">
        <v>2</v>
      </c>
      <c r="G127">
        <v>166.67</v>
      </c>
      <c r="H127">
        <v>0</v>
      </c>
      <c r="I127">
        <v>0</v>
      </c>
      <c r="J127">
        <v>0</v>
      </c>
      <c r="K127">
        <v>0</v>
      </c>
    </row>
    <row r="128" spans="1:11" x14ac:dyDescent="0.3">
      <c r="A128" t="s">
        <v>263</v>
      </c>
      <c r="B128" t="s">
        <v>58</v>
      </c>
      <c r="C128">
        <v>25</v>
      </c>
      <c r="D128">
        <v>15</v>
      </c>
      <c r="E128">
        <v>2</v>
      </c>
      <c r="F128">
        <v>2</v>
      </c>
      <c r="G128">
        <v>166.67</v>
      </c>
      <c r="H128">
        <v>4</v>
      </c>
      <c r="I128">
        <v>20</v>
      </c>
      <c r="J128">
        <v>3</v>
      </c>
      <c r="K128">
        <v>5</v>
      </c>
    </row>
    <row r="129" spans="1:11" x14ac:dyDescent="0.3">
      <c r="A129" t="s">
        <v>264</v>
      </c>
      <c r="B129" t="s">
        <v>33</v>
      </c>
      <c r="C129">
        <v>0</v>
      </c>
      <c r="D129">
        <v>0</v>
      </c>
      <c r="E129">
        <v>0</v>
      </c>
      <c r="F129">
        <v>0</v>
      </c>
      <c r="G129">
        <v>0</v>
      </c>
      <c r="H129">
        <v>4</v>
      </c>
      <c r="I129">
        <v>25</v>
      </c>
      <c r="J129">
        <v>3</v>
      </c>
      <c r="K129">
        <v>6.25</v>
      </c>
    </row>
    <row r="130" spans="1:11" x14ac:dyDescent="0.3">
      <c r="A130" t="s">
        <v>265</v>
      </c>
      <c r="B130" t="s">
        <v>101</v>
      </c>
      <c r="C130">
        <v>40</v>
      </c>
      <c r="D130">
        <v>20</v>
      </c>
      <c r="E130">
        <v>4</v>
      </c>
      <c r="F130">
        <v>3</v>
      </c>
      <c r="G130">
        <v>200</v>
      </c>
      <c r="H130">
        <v>0</v>
      </c>
      <c r="I130">
        <v>0</v>
      </c>
      <c r="J130">
        <v>0</v>
      </c>
      <c r="K130">
        <v>0</v>
      </c>
    </row>
    <row r="131" spans="1:11" x14ac:dyDescent="0.3">
      <c r="A131" t="s">
        <v>266</v>
      </c>
      <c r="B131" t="s">
        <v>60</v>
      </c>
      <c r="C131">
        <v>0</v>
      </c>
      <c r="D131">
        <v>0</v>
      </c>
      <c r="E131">
        <v>0</v>
      </c>
      <c r="F131">
        <v>0</v>
      </c>
      <c r="G131">
        <v>0</v>
      </c>
      <c r="H131">
        <v>4</v>
      </c>
      <c r="I131">
        <v>22</v>
      </c>
      <c r="J131">
        <v>3</v>
      </c>
      <c r="K131">
        <v>5.5</v>
      </c>
    </row>
    <row r="132" spans="1:11" x14ac:dyDescent="0.3">
      <c r="A132" t="s">
        <v>267</v>
      </c>
      <c r="B132" t="s">
        <v>66</v>
      </c>
      <c r="C132">
        <v>0</v>
      </c>
      <c r="D132">
        <v>0</v>
      </c>
      <c r="E132">
        <v>0</v>
      </c>
      <c r="F132">
        <v>0</v>
      </c>
      <c r="G132">
        <v>0</v>
      </c>
      <c r="H132">
        <v>4</v>
      </c>
      <c r="I132">
        <v>15</v>
      </c>
      <c r="J132">
        <v>2</v>
      </c>
      <c r="K132">
        <v>3.75</v>
      </c>
    </row>
    <row r="133" spans="1:11" x14ac:dyDescent="0.3">
      <c r="A133" t="s">
        <v>268</v>
      </c>
      <c r="B133" t="s">
        <v>85</v>
      </c>
      <c r="C133">
        <v>65</v>
      </c>
      <c r="D133">
        <v>40</v>
      </c>
      <c r="E133">
        <v>6</v>
      </c>
      <c r="F133">
        <v>3</v>
      </c>
      <c r="G133">
        <v>162.5</v>
      </c>
      <c r="H133">
        <v>0</v>
      </c>
      <c r="I133">
        <v>0</v>
      </c>
      <c r="J133">
        <v>0</v>
      </c>
      <c r="K133">
        <v>0</v>
      </c>
    </row>
    <row r="134" spans="1:11" x14ac:dyDescent="0.3">
      <c r="A134" t="s">
        <v>269</v>
      </c>
      <c r="B134" t="s">
        <v>36</v>
      </c>
      <c r="C134">
        <v>55</v>
      </c>
      <c r="D134">
        <v>35</v>
      </c>
      <c r="E134">
        <v>5</v>
      </c>
      <c r="F134">
        <v>2</v>
      </c>
      <c r="G134">
        <v>157.13999999999999</v>
      </c>
      <c r="H134">
        <v>0</v>
      </c>
      <c r="I134">
        <v>0</v>
      </c>
      <c r="J134">
        <v>0</v>
      </c>
      <c r="K134">
        <v>0</v>
      </c>
    </row>
    <row r="135" spans="1:11" x14ac:dyDescent="0.3">
      <c r="A135" t="s">
        <v>270</v>
      </c>
      <c r="B135" t="s">
        <v>42</v>
      </c>
      <c r="C135">
        <v>85</v>
      </c>
      <c r="D135">
        <v>50</v>
      </c>
      <c r="E135">
        <v>8</v>
      </c>
      <c r="F135">
        <v>3</v>
      </c>
      <c r="G135">
        <v>170</v>
      </c>
      <c r="H135">
        <v>0</v>
      </c>
      <c r="I135">
        <v>0</v>
      </c>
      <c r="J135">
        <v>0</v>
      </c>
      <c r="K135">
        <v>0</v>
      </c>
    </row>
    <row r="136" spans="1:11" x14ac:dyDescent="0.3">
      <c r="A136" t="s">
        <v>271</v>
      </c>
      <c r="B136" t="s">
        <v>8</v>
      </c>
      <c r="C136">
        <v>70</v>
      </c>
      <c r="D136">
        <v>45</v>
      </c>
      <c r="E136">
        <v>7</v>
      </c>
      <c r="F136">
        <v>3</v>
      </c>
      <c r="G136">
        <v>155.56</v>
      </c>
      <c r="H136">
        <v>0</v>
      </c>
      <c r="I136">
        <v>0</v>
      </c>
      <c r="J136">
        <v>0</v>
      </c>
      <c r="K136">
        <v>0</v>
      </c>
    </row>
    <row r="137" spans="1:11" x14ac:dyDescent="0.3">
      <c r="A137" t="s">
        <v>272</v>
      </c>
      <c r="B137" t="s">
        <v>96</v>
      </c>
      <c r="C137">
        <v>55</v>
      </c>
      <c r="D137">
        <v>35</v>
      </c>
      <c r="E137">
        <v>5</v>
      </c>
      <c r="F137">
        <v>2</v>
      </c>
      <c r="G137">
        <v>157.13999999999999</v>
      </c>
      <c r="H137">
        <v>0</v>
      </c>
      <c r="I137">
        <v>0</v>
      </c>
      <c r="J137">
        <v>0</v>
      </c>
      <c r="K137">
        <v>0</v>
      </c>
    </row>
    <row r="138" spans="1:11" x14ac:dyDescent="0.3">
      <c r="A138" t="s">
        <v>273</v>
      </c>
      <c r="B138" t="s">
        <v>88</v>
      </c>
      <c r="C138">
        <v>0</v>
      </c>
      <c r="D138">
        <v>0</v>
      </c>
      <c r="E138">
        <v>0</v>
      </c>
      <c r="F138">
        <v>0</v>
      </c>
      <c r="G138">
        <v>0</v>
      </c>
      <c r="H138">
        <v>4</v>
      </c>
      <c r="I138">
        <v>28</v>
      </c>
      <c r="J138">
        <v>3</v>
      </c>
      <c r="K138">
        <v>7</v>
      </c>
    </row>
    <row r="139" spans="1:11" x14ac:dyDescent="0.3">
      <c r="A139" t="s">
        <v>274</v>
      </c>
      <c r="B139" t="s">
        <v>15</v>
      </c>
      <c r="C139">
        <v>0</v>
      </c>
      <c r="D139">
        <v>0</v>
      </c>
      <c r="E139">
        <v>0</v>
      </c>
      <c r="F139">
        <v>0</v>
      </c>
      <c r="G139">
        <v>0</v>
      </c>
      <c r="H139">
        <v>4</v>
      </c>
      <c r="I139">
        <v>25</v>
      </c>
      <c r="J139">
        <v>2</v>
      </c>
      <c r="K139">
        <v>6.25</v>
      </c>
    </row>
    <row r="140" spans="1:11" x14ac:dyDescent="0.3">
      <c r="A140" t="s">
        <v>275</v>
      </c>
      <c r="B140" t="s">
        <v>99</v>
      </c>
      <c r="C140">
        <v>0</v>
      </c>
      <c r="D140">
        <v>0</v>
      </c>
      <c r="E140">
        <v>0</v>
      </c>
      <c r="F140">
        <v>0</v>
      </c>
      <c r="G140">
        <v>0</v>
      </c>
      <c r="H140">
        <v>4</v>
      </c>
      <c r="I140">
        <v>35</v>
      </c>
      <c r="J140">
        <v>1</v>
      </c>
      <c r="K140">
        <v>8.75</v>
      </c>
    </row>
    <row r="141" spans="1:11" x14ac:dyDescent="0.3">
      <c r="A141" t="s">
        <v>276</v>
      </c>
      <c r="B141" t="s">
        <v>42</v>
      </c>
      <c r="C141">
        <v>90</v>
      </c>
      <c r="D141">
        <v>55</v>
      </c>
      <c r="E141">
        <v>9</v>
      </c>
      <c r="F141">
        <v>3</v>
      </c>
      <c r="G141">
        <v>163.63999999999999</v>
      </c>
      <c r="H141">
        <v>0</v>
      </c>
      <c r="I141">
        <v>0</v>
      </c>
      <c r="J141">
        <v>0</v>
      </c>
      <c r="K141">
        <v>0</v>
      </c>
    </row>
    <row r="142" spans="1:11" x14ac:dyDescent="0.3">
      <c r="A142" t="s">
        <v>277</v>
      </c>
      <c r="B142" t="s">
        <v>19</v>
      </c>
      <c r="C142">
        <v>45</v>
      </c>
      <c r="D142">
        <v>30</v>
      </c>
      <c r="E142">
        <v>4</v>
      </c>
      <c r="F142">
        <v>2</v>
      </c>
      <c r="G142">
        <v>150</v>
      </c>
      <c r="H142">
        <v>0</v>
      </c>
      <c r="I142">
        <v>0</v>
      </c>
      <c r="J142">
        <v>0</v>
      </c>
      <c r="K142">
        <v>0</v>
      </c>
    </row>
    <row r="143" spans="1:11" x14ac:dyDescent="0.3">
      <c r="A143" t="s">
        <v>278</v>
      </c>
      <c r="B143" t="s">
        <v>24</v>
      </c>
      <c r="C143">
        <v>50</v>
      </c>
      <c r="D143">
        <v>30</v>
      </c>
      <c r="E143">
        <v>5</v>
      </c>
      <c r="F143">
        <v>2</v>
      </c>
      <c r="G143">
        <v>166.67</v>
      </c>
      <c r="H143">
        <v>0</v>
      </c>
      <c r="I143">
        <v>0</v>
      </c>
      <c r="J143">
        <v>0</v>
      </c>
      <c r="K143">
        <v>0</v>
      </c>
    </row>
    <row r="144" spans="1:11" x14ac:dyDescent="0.3">
      <c r="A144" t="s">
        <v>279</v>
      </c>
      <c r="B144" t="s">
        <v>71</v>
      </c>
      <c r="C144">
        <v>0</v>
      </c>
      <c r="D144">
        <v>0</v>
      </c>
      <c r="E144">
        <v>0</v>
      </c>
      <c r="F144">
        <v>0</v>
      </c>
      <c r="G144">
        <v>0</v>
      </c>
      <c r="H144">
        <v>4</v>
      </c>
      <c r="I144">
        <v>20</v>
      </c>
      <c r="J144">
        <v>3</v>
      </c>
      <c r="K144">
        <v>5</v>
      </c>
    </row>
    <row r="145" spans="1:11" x14ac:dyDescent="0.3">
      <c r="A145" t="s">
        <v>280</v>
      </c>
      <c r="B145" t="s">
        <v>93</v>
      </c>
      <c r="C145">
        <v>0</v>
      </c>
      <c r="D145">
        <v>0</v>
      </c>
      <c r="E145">
        <v>0</v>
      </c>
      <c r="F145">
        <v>0</v>
      </c>
      <c r="G145">
        <v>0</v>
      </c>
      <c r="H145">
        <v>4</v>
      </c>
      <c r="I145">
        <v>22</v>
      </c>
      <c r="J145">
        <v>2</v>
      </c>
      <c r="K145">
        <v>5.5</v>
      </c>
    </row>
    <row r="146" spans="1:11" x14ac:dyDescent="0.3">
      <c r="A146" t="s">
        <v>281</v>
      </c>
      <c r="B146" t="s">
        <v>55</v>
      </c>
      <c r="C146">
        <v>80</v>
      </c>
      <c r="D146">
        <v>40</v>
      </c>
      <c r="E146">
        <v>8</v>
      </c>
      <c r="F146">
        <v>4</v>
      </c>
      <c r="G146">
        <v>200</v>
      </c>
      <c r="H146">
        <v>4</v>
      </c>
      <c r="I146">
        <v>30</v>
      </c>
      <c r="J146">
        <v>1</v>
      </c>
      <c r="K146">
        <v>7.5</v>
      </c>
    </row>
    <row r="147" spans="1:11" x14ac:dyDescent="0.3">
      <c r="A147" t="s">
        <v>282</v>
      </c>
      <c r="B147" t="s">
        <v>101</v>
      </c>
      <c r="C147">
        <v>65</v>
      </c>
      <c r="D147">
        <v>35</v>
      </c>
      <c r="E147">
        <v>6</v>
      </c>
      <c r="F147">
        <v>4</v>
      </c>
      <c r="G147">
        <v>185.71</v>
      </c>
      <c r="H147">
        <v>0</v>
      </c>
      <c r="I147">
        <v>0</v>
      </c>
      <c r="J147">
        <v>0</v>
      </c>
      <c r="K147">
        <v>0</v>
      </c>
    </row>
    <row r="148" spans="1:11" x14ac:dyDescent="0.3">
      <c r="A148" t="s">
        <v>283</v>
      </c>
      <c r="B148" t="s">
        <v>27</v>
      </c>
      <c r="C148">
        <v>40</v>
      </c>
      <c r="D148">
        <v>25</v>
      </c>
      <c r="E148">
        <v>3</v>
      </c>
      <c r="F148">
        <v>2</v>
      </c>
      <c r="G148">
        <v>160</v>
      </c>
      <c r="H148">
        <v>4</v>
      </c>
      <c r="I148">
        <v>30</v>
      </c>
      <c r="J148">
        <v>2</v>
      </c>
      <c r="K148">
        <v>7.5</v>
      </c>
    </row>
    <row r="149" spans="1:11" x14ac:dyDescent="0.3">
      <c r="A149" t="s">
        <v>284</v>
      </c>
      <c r="B149" t="s">
        <v>80</v>
      </c>
      <c r="C149">
        <v>0</v>
      </c>
      <c r="D149">
        <v>0</v>
      </c>
      <c r="E149">
        <v>0</v>
      </c>
      <c r="F149">
        <v>0</v>
      </c>
      <c r="G149">
        <v>0</v>
      </c>
      <c r="H149">
        <v>3.5</v>
      </c>
      <c r="I149">
        <v>15</v>
      </c>
      <c r="J149">
        <v>3</v>
      </c>
      <c r="K149">
        <v>3.86</v>
      </c>
    </row>
    <row r="150" spans="1:11" x14ac:dyDescent="0.3">
      <c r="A150" t="s">
        <v>285</v>
      </c>
      <c r="B150" t="s">
        <v>69</v>
      </c>
      <c r="C150">
        <v>55</v>
      </c>
      <c r="D150">
        <v>30</v>
      </c>
      <c r="E150">
        <v>5</v>
      </c>
      <c r="F150">
        <v>3</v>
      </c>
      <c r="G150">
        <v>183.33</v>
      </c>
      <c r="H150">
        <v>0</v>
      </c>
      <c r="I150">
        <v>0</v>
      </c>
      <c r="J150">
        <v>0</v>
      </c>
      <c r="K150">
        <v>0</v>
      </c>
    </row>
    <row r="151" spans="1:11" x14ac:dyDescent="0.3">
      <c r="A151" t="s">
        <v>286</v>
      </c>
      <c r="B151" t="s">
        <v>42</v>
      </c>
      <c r="C151">
        <v>70</v>
      </c>
      <c r="D151">
        <v>40</v>
      </c>
      <c r="E151">
        <v>7</v>
      </c>
      <c r="F151">
        <v>3</v>
      </c>
      <c r="G151">
        <v>175</v>
      </c>
      <c r="H151">
        <v>0</v>
      </c>
      <c r="I151">
        <v>0</v>
      </c>
      <c r="J151">
        <v>0</v>
      </c>
      <c r="K151">
        <v>0</v>
      </c>
    </row>
    <row r="152" spans="1:11" x14ac:dyDescent="0.3">
      <c r="A152" t="s">
        <v>287</v>
      </c>
      <c r="B152" t="s">
        <v>83</v>
      </c>
      <c r="C152">
        <v>60</v>
      </c>
      <c r="D152">
        <v>40</v>
      </c>
      <c r="E152">
        <v>6</v>
      </c>
      <c r="F152">
        <v>2</v>
      </c>
      <c r="G152">
        <v>150</v>
      </c>
      <c r="H152">
        <v>0</v>
      </c>
      <c r="I152">
        <v>0</v>
      </c>
      <c r="J152">
        <v>0</v>
      </c>
      <c r="K152">
        <v>0</v>
      </c>
    </row>
    <row r="153" spans="1:11" x14ac:dyDescent="0.3">
      <c r="A153" t="s">
        <v>288</v>
      </c>
      <c r="B153" t="s">
        <v>96</v>
      </c>
      <c r="C153">
        <v>80</v>
      </c>
      <c r="D153">
        <v>45</v>
      </c>
      <c r="E153">
        <v>8</v>
      </c>
      <c r="F153">
        <v>3</v>
      </c>
      <c r="G153">
        <v>177.78</v>
      </c>
      <c r="H153">
        <v>0</v>
      </c>
      <c r="I153">
        <v>0</v>
      </c>
      <c r="J153">
        <v>0</v>
      </c>
      <c r="K153">
        <v>0</v>
      </c>
    </row>
    <row r="154" spans="1:11" x14ac:dyDescent="0.3">
      <c r="A154" t="s">
        <v>289</v>
      </c>
      <c r="B154" t="s">
        <v>15</v>
      </c>
      <c r="C154">
        <v>0</v>
      </c>
      <c r="D154">
        <v>0</v>
      </c>
      <c r="E154">
        <v>0</v>
      </c>
      <c r="F154">
        <v>0</v>
      </c>
      <c r="G154">
        <v>0</v>
      </c>
      <c r="H154">
        <v>4</v>
      </c>
      <c r="I154">
        <v>28</v>
      </c>
      <c r="J154">
        <v>3</v>
      </c>
      <c r="K154">
        <v>7</v>
      </c>
    </row>
    <row r="155" spans="1:11" x14ac:dyDescent="0.3">
      <c r="A155" t="s">
        <v>290</v>
      </c>
      <c r="B155" t="s">
        <v>45</v>
      </c>
      <c r="C155">
        <v>0</v>
      </c>
      <c r="D155">
        <v>0</v>
      </c>
      <c r="E155">
        <v>0</v>
      </c>
      <c r="F155">
        <v>0</v>
      </c>
      <c r="G155">
        <v>0</v>
      </c>
      <c r="H155">
        <v>4</v>
      </c>
      <c r="I155">
        <v>30</v>
      </c>
      <c r="J155">
        <v>2</v>
      </c>
      <c r="K155">
        <v>7.5</v>
      </c>
    </row>
    <row r="156" spans="1:11" x14ac:dyDescent="0.3">
      <c r="A156" t="s">
        <v>291</v>
      </c>
      <c r="B156" t="s">
        <v>19</v>
      </c>
      <c r="C156">
        <v>50</v>
      </c>
      <c r="D156">
        <v>35</v>
      </c>
      <c r="E156">
        <v>5</v>
      </c>
      <c r="F156">
        <v>2</v>
      </c>
      <c r="G156">
        <v>142.86000000000001</v>
      </c>
      <c r="H156">
        <v>0</v>
      </c>
      <c r="I156">
        <v>0</v>
      </c>
      <c r="J156">
        <v>0</v>
      </c>
      <c r="K156">
        <v>0</v>
      </c>
    </row>
    <row r="157" spans="1:11" x14ac:dyDescent="0.3">
      <c r="A157" t="s">
        <v>292</v>
      </c>
      <c r="B157" t="s">
        <v>103</v>
      </c>
      <c r="C157">
        <v>60</v>
      </c>
      <c r="D157">
        <v>40</v>
      </c>
      <c r="E157">
        <v>6</v>
      </c>
      <c r="F157">
        <v>2</v>
      </c>
      <c r="G157">
        <v>150</v>
      </c>
      <c r="H157">
        <v>0</v>
      </c>
      <c r="I157">
        <v>0</v>
      </c>
      <c r="J157">
        <v>0</v>
      </c>
      <c r="K157">
        <v>0</v>
      </c>
    </row>
    <row r="158" spans="1:11" x14ac:dyDescent="0.3">
      <c r="A158" t="s">
        <v>293</v>
      </c>
      <c r="B158" t="s">
        <v>52</v>
      </c>
      <c r="C158">
        <v>50</v>
      </c>
      <c r="D158">
        <v>30</v>
      </c>
      <c r="E158">
        <v>5</v>
      </c>
      <c r="F158">
        <v>2</v>
      </c>
      <c r="G158">
        <v>166.67</v>
      </c>
      <c r="H158">
        <v>0</v>
      </c>
      <c r="I158">
        <v>0</v>
      </c>
      <c r="J158">
        <v>0</v>
      </c>
      <c r="K158">
        <v>0</v>
      </c>
    </row>
    <row r="159" spans="1:11" x14ac:dyDescent="0.3">
      <c r="A159" t="s">
        <v>294</v>
      </c>
      <c r="B159" t="s">
        <v>30</v>
      </c>
      <c r="C159">
        <v>70</v>
      </c>
      <c r="D159">
        <v>40</v>
      </c>
      <c r="E159">
        <v>7</v>
      </c>
      <c r="F159">
        <v>3</v>
      </c>
      <c r="G159">
        <v>175</v>
      </c>
      <c r="H159">
        <v>0</v>
      </c>
      <c r="I159">
        <v>0</v>
      </c>
      <c r="J159">
        <v>0</v>
      </c>
      <c r="K159">
        <v>0</v>
      </c>
    </row>
    <row r="160" spans="1:11" x14ac:dyDescent="0.3">
      <c r="A160" t="s">
        <v>295</v>
      </c>
      <c r="B160" t="s">
        <v>74</v>
      </c>
      <c r="C160">
        <v>55</v>
      </c>
      <c r="D160">
        <v>35</v>
      </c>
      <c r="E160">
        <v>5</v>
      </c>
      <c r="F160">
        <v>2</v>
      </c>
      <c r="G160">
        <v>157.13999999999999</v>
      </c>
      <c r="H160">
        <v>0</v>
      </c>
      <c r="I160">
        <v>0</v>
      </c>
      <c r="J160">
        <v>0</v>
      </c>
      <c r="K160">
        <v>0</v>
      </c>
    </row>
    <row r="161" spans="1:11" x14ac:dyDescent="0.3">
      <c r="A161" t="s">
        <v>296</v>
      </c>
      <c r="B161" t="s">
        <v>55</v>
      </c>
      <c r="C161">
        <v>60</v>
      </c>
      <c r="D161">
        <v>30</v>
      </c>
      <c r="E161">
        <v>6</v>
      </c>
      <c r="F161">
        <v>4</v>
      </c>
      <c r="G161">
        <v>200</v>
      </c>
      <c r="H161">
        <v>4</v>
      </c>
      <c r="I161">
        <v>40</v>
      </c>
      <c r="J161">
        <v>1</v>
      </c>
      <c r="K161">
        <v>10</v>
      </c>
    </row>
    <row r="162" spans="1:11" x14ac:dyDescent="0.3">
      <c r="A162" t="s">
        <v>297</v>
      </c>
      <c r="B162" t="s">
        <v>88</v>
      </c>
      <c r="C162">
        <v>0</v>
      </c>
      <c r="D162">
        <v>0</v>
      </c>
      <c r="E162">
        <v>0</v>
      </c>
      <c r="F162">
        <v>0</v>
      </c>
      <c r="G162">
        <v>0</v>
      </c>
      <c r="H162">
        <v>4</v>
      </c>
      <c r="I162">
        <v>32</v>
      </c>
      <c r="J162">
        <v>2</v>
      </c>
      <c r="K162">
        <v>8</v>
      </c>
    </row>
    <row r="163" spans="1:11" x14ac:dyDescent="0.3">
      <c r="A163" t="s">
        <v>298</v>
      </c>
      <c r="B163" t="s">
        <v>74</v>
      </c>
      <c r="C163">
        <v>85</v>
      </c>
      <c r="D163">
        <v>45</v>
      </c>
      <c r="E163">
        <v>8</v>
      </c>
      <c r="F163">
        <v>4</v>
      </c>
      <c r="G163">
        <v>188.89</v>
      </c>
      <c r="H163">
        <v>0</v>
      </c>
      <c r="I163">
        <v>0</v>
      </c>
      <c r="J163">
        <v>0</v>
      </c>
      <c r="K163">
        <v>0</v>
      </c>
    </row>
    <row r="164" spans="1:11" x14ac:dyDescent="0.3">
      <c r="A164" t="s">
        <v>299</v>
      </c>
      <c r="B164" t="s">
        <v>15</v>
      </c>
      <c r="C164">
        <v>0</v>
      </c>
      <c r="D164">
        <v>0</v>
      </c>
      <c r="E164">
        <v>0</v>
      </c>
      <c r="F164">
        <v>0</v>
      </c>
      <c r="G164">
        <v>0</v>
      </c>
      <c r="H164">
        <v>4</v>
      </c>
      <c r="I164">
        <v>25</v>
      </c>
      <c r="J164">
        <v>3</v>
      </c>
      <c r="K164">
        <v>6.25</v>
      </c>
    </row>
    <row r="165" spans="1:11" x14ac:dyDescent="0.3">
      <c r="A165" t="s">
        <v>300</v>
      </c>
      <c r="B165" t="s">
        <v>83</v>
      </c>
      <c r="C165">
        <v>75</v>
      </c>
      <c r="D165">
        <v>40</v>
      </c>
      <c r="E165">
        <v>7</v>
      </c>
      <c r="F165">
        <v>3</v>
      </c>
      <c r="G165">
        <v>187.5</v>
      </c>
      <c r="H165">
        <v>0</v>
      </c>
      <c r="I165">
        <v>0</v>
      </c>
      <c r="J165">
        <v>0</v>
      </c>
      <c r="K165">
        <v>0</v>
      </c>
    </row>
    <row r="166" spans="1:11" x14ac:dyDescent="0.3">
      <c r="A166" t="s">
        <v>301</v>
      </c>
      <c r="B166" t="s">
        <v>42</v>
      </c>
      <c r="C166">
        <v>50</v>
      </c>
      <c r="D166">
        <v>30</v>
      </c>
      <c r="E166">
        <v>5</v>
      </c>
      <c r="F166">
        <v>2</v>
      </c>
      <c r="G166">
        <v>166.67</v>
      </c>
      <c r="H166">
        <v>0</v>
      </c>
      <c r="I166">
        <v>0</v>
      </c>
      <c r="J166">
        <v>0</v>
      </c>
      <c r="K166">
        <v>0</v>
      </c>
    </row>
    <row r="167" spans="1:11" x14ac:dyDescent="0.3">
      <c r="A167" t="s">
        <v>302</v>
      </c>
      <c r="B167" t="s">
        <v>58</v>
      </c>
      <c r="C167">
        <v>30</v>
      </c>
      <c r="D167">
        <v>15</v>
      </c>
      <c r="E167">
        <v>3</v>
      </c>
      <c r="F167">
        <v>2</v>
      </c>
      <c r="G167">
        <v>200</v>
      </c>
      <c r="H167">
        <v>4</v>
      </c>
      <c r="I167">
        <v>28</v>
      </c>
      <c r="J167">
        <v>2</v>
      </c>
      <c r="K167">
        <v>7</v>
      </c>
    </row>
    <row r="168" spans="1:11" x14ac:dyDescent="0.3">
      <c r="A168" t="s">
        <v>303</v>
      </c>
      <c r="B168" t="s">
        <v>71</v>
      </c>
      <c r="C168">
        <v>0</v>
      </c>
      <c r="D168">
        <v>0</v>
      </c>
      <c r="E168">
        <v>0</v>
      </c>
      <c r="F168">
        <v>0</v>
      </c>
      <c r="G168">
        <v>0</v>
      </c>
      <c r="H168">
        <v>4</v>
      </c>
      <c r="I168">
        <v>22</v>
      </c>
      <c r="J168">
        <v>2</v>
      </c>
      <c r="K168">
        <v>5.5</v>
      </c>
    </row>
    <row r="169" spans="1:11" x14ac:dyDescent="0.3">
      <c r="A169" t="s">
        <v>304</v>
      </c>
      <c r="B169" t="s">
        <v>33</v>
      </c>
      <c r="C169">
        <v>0</v>
      </c>
      <c r="D169">
        <v>0</v>
      </c>
      <c r="E169">
        <v>0</v>
      </c>
      <c r="F169">
        <v>0</v>
      </c>
      <c r="G169">
        <v>0</v>
      </c>
      <c r="H169">
        <v>4</v>
      </c>
      <c r="I169">
        <v>30</v>
      </c>
      <c r="J169">
        <v>2</v>
      </c>
      <c r="K169">
        <v>7.5</v>
      </c>
    </row>
    <row r="170" spans="1:11" x14ac:dyDescent="0.3">
      <c r="A170" t="s">
        <v>305</v>
      </c>
      <c r="B170" t="s">
        <v>85</v>
      </c>
      <c r="C170">
        <v>45</v>
      </c>
      <c r="D170">
        <v>30</v>
      </c>
      <c r="E170">
        <v>4</v>
      </c>
      <c r="F170">
        <v>2</v>
      </c>
      <c r="G170">
        <v>150</v>
      </c>
      <c r="H170">
        <v>0</v>
      </c>
      <c r="I170">
        <v>0</v>
      </c>
      <c r="J170">
        <v>0</v>
      </c>
      <c r="K170">
        <v>0</v>
      </c>
    </row>
    <row r="171" spans="1:11" x14ac:dyDescent="0.3">
      <c r="A171" t="s">
        <v>306</v>
      </c>
      <c r="B171" t="s">
        <v>101</v>
      </c>
      <c r="C171">
        <v>75</v>
      </c>
      <c r="D171">
        <v>40</v>
      </c>
      <c r="E171">
        <v>7</v>
      </c>
      <c r="F171">
        <v>4</v>
      </c>
      <c r="G171">
        <v>187.5</v>
      </c>
      <c r="H171">
        <v>0</v>
      </c>
      <c r="I171">
        <v>0</v>
      </c>
      <c r="J171">
        <v>0</v>
      </c>
      <c r="K171">
        <v>0</v>
      </c>
    </row>
    <row r="172" spans="1:11" x14ac:dyDescent="0.3">
      <c r="A172" t="s">
        <v>307</v>
      </c>
      <c r="B172" t="s">
        <v>27</v>
      </c>
      <c r="C172">
        <v>50</v>
      </c>
      <c r="D172">
        <v>30</v>
      </c>
      <c r="E172">
        <v>5</v>
      </c>
      <c r="F172">
        <v>2</v>
      </c>
      <c r="G172">
        <v>166.67</v>
      </c>
      <c r="H172">
        <v>4</v>
      </c>
      <c r="I172">
        <v>35</v>
      </c>
      <c r="J172">
        <v>1</v>
      </c>
      <c r="K172">
        <v>8.75</v>
      </c>
    </row>
    <row r="173" spans="1:11" x14ac:dyDescent="0.3">
      <c r="A173" t="s">
        <v>308</v>
      </c>
      <c r="B173" t="s">
        <v>80</v>
      </c>
      <c r="C173">
        <v>0</v>
      </c>
      <c r="D173">
        <v>0</v>
      </c>
      <c r="E173">
        <v>0</v>
      </c>
      <c r="F173">
        <v>0</v>
      </c>
      <c r="G173">
        <v>0</v>
      </c>
      <c r="H173">
        <v>4</v>
      </c>
      <c r="I173">
        <v>22</v>
      </c>
      <c r="J173">
        <v>3</v>
      </c>
      <c r="K173">
        <v>5.5</v>
      </c>
    </row>
    <row r="174" spans="1:11" x14ac:dyDescent="0.3">
      <c r="A174" t="s">
        <v>309</v>
      </c>
      <c r="B174" t="s">
        <v>103</v>
      </c>
      <c r="C174">
        <v>40</v>
      </c>
      <c r="D174">
        <v>25</v>
      </c>
      <c r="E174">
        <v>4</v>
      </c>
      <c r="F174">
        <v>1</v>
      </c>
      <c r="G174">
        <v>160</v>
      </c>
      <c r="H174">
        <v>0</v>
      </c>
      <c r="I174">
        <v>0</v>
      </c>
      <c r="J174">
        <v>0</v>
      </c>
      <c r="K174">
        <v>0</v>
      </c>
    </row>
    <row r="175" spans="1:11" x14ac:dyDescent="0.3">
      <c r="A175" t="s">
        <v>310</v>
      </c>
      <c r="B175" t="s">
        <v>42</v>
      </c>
      <c r="C175">
        <v>70</v>
      </c>
      <c r="D175">
        <v>45</v>
      </c>
      <c r="E175">
        <v>7</v>
      </c>
      <c r="F175">
        <v>2</v>
      </c>
      <c r="G175">
        <v>155.56</v>
      </c>
      <c r="H175">
        <v>0</v>
      </c>
      <c r="I175">
        <v>0</v>
      </c>
      <c r="J175">
        <v>0</v>
      </c>
      <c r="K175">
        <v>0</v>
      </c>
    </row>
    <row r="176" spans="1:11" x14ac:dyDescent="0.3">
      <c r="A176" t="s">
        <v>311</v>
      </c>
      <c r="B176" t="s">
        <v>58</v>
      </c>
      <c r="C176">
        <v>20</v>
      </c>
      <c r="D176">
        <v>10</v>
      </c>
      <c r="E176">
        <v>2</v>
      </c>
      <c r="F176">
        <v>1</v>
      </c>
      <c r="G176">
        <v>200</v>
      </c>
      <c r="H176">
        <v>4</v>
      </c>
      <c r="I176">
        <v>25</v>
      </c>
      <c r="J176">
        <v>3</v>
      </c>
      <c r="K176">
        <v>6.25</v>
      </c>
    </row>
    <row r="177" spans="1:11" x14ac:dyDescent="0.3">
      <c r="A177" t="s">
        <v>312</v>
      </c>
      <c r="B177" t="s">
        <v>69</v>
      </c>
      <c r="C177">
        <v>60</v>
      </c>
      <c r="D177">
        <v>35</v>
      </c>
      <c r="E177">
        <v>6</v>
      </c>
      <c r="F177">
        <v>3</v>
      </c>
      <c r="G177">
        <v>171.43</v>
      </c>
      <c r="H177">
        <v>0</v>
      </c>
      <c r="I177">
        <v>0</v>
      </c>
      <c r="J177">
        <v>0</v>
      </c>
      <c r="K177">
        <v>0</v>
      </c>
    </row>
    <row r="178" spans="1:11" x14ac:dyDescent="0.3">
      <c r="A178" t="s">
        <v>313</v>
      </c>
      <c r="B178" t="s">
        <v>66</v>
      </c>
      <c r="C178">
        <v>0</v>
      </c>
      <c r="D178">
        <v>0</v>
      </c>
      <c r="E178">
        <v>0</v>
      </c>
      <c r="F178">
        <v>0</v>
      </c>
      <c r="G178">
        <v>0</v>
      </c>
      <c r="H178">
        <v>4</v>
      </c>
      <c r="I178">
        <v>18</v>
      </c>
      <c r="J178">
        <v>3</v>
      </c>
      <c r="K178">
        <v>4.5</v>
      </c>
    </row>
    <row r="179" spans="1:11" x14ac:dyDescent="0.3">
      <c r="A179" t="s">
        <v>314</v>
      </c>
      <c r="B179" t="s">
        <v>30</v>
      </c>
      <c r="C179">
        <v>80</v>
      </c>
      <c r="D179">
        <v>45</v>
      </c>
      <c r="E179">
        <v>8</v>
      </c>
      <c r="F179">
        <v>4</v>
      </c>
      <c r="G179">
        <v>177.78</v>
      </c>
      <c r="H179">
        <v>0</v>
      </c>
      <c r="I179">
        <v>0</v>
      </c>
      <c r="J179">
        <v>0</v>
      </c>
      <c r="K179">
        <v>0</v>
      </c>
    </row>
    <row r="180" spans="1:11" x14ac:dyDescent="0.3">
      <c r="A180" t="s">
        <v>315</v>
      </c>
      <c r="B180" t="s">
        <v>78</v>
      </c>
      <c r="C180">
        <v>0</v>
      </c>
      <c r="D180">
        <v>0</v>
      </c>
      <c r="E180">
        <v>0</v>
      </c>
      <c r="F180">
        <v>0</v>
      </c>
      <c r="G180">
        <v>0</v>
      </c>
      <c r="H180">
        <v>4</v>
      </c>
      <c r="I180">
        <v>30</v>
      </c>
      <c r="J180">
        <v>2</v>
      </c>
      <c r="K180">
        <v>7.5</v>
      </c>
    </row>
    <row r="181" spans="1:11" x14ac:dyDescent="0.3">
      <c r="A181" t="s">
        <v>316</v>
      </c>
      <c r="B181" t="s">
        <v>47</v>
      </c>
      <c r="C181">
        <v>50</v>
      </c>
      <c r="D181">
        <v>25</v>
      </c>
      <c r="E181">
        <v>5</v>
      </c>
      <c r="F181">
        <v>3</v>
      </c>
      <c r="G181">
        <v>200</v>
      </c>
      <c r="H181">
        <v>0</v>
      </c>
      <c r="I181">
        <v>0</v>
      </c>
      <c r="J181">
        <v>0</v>
      </c>
      <c r="K181">
        <v>0</v>
      </c>
    </row>
    <row r="182" spans="1:11" x14ac:dyDescent="0.3">
      <c r="A182" t="s">
        <v>317</v>
      </c>
      <c r="B182" t="s">
        <v>60</v>
      </c>
      <c r="C182">
        <v>0</v>
      </c>
      <c r="D182">
        <v>0</v>
      </c>
      <c r="E182">
        <v>0</v>
      </c>
      <c r="F182">
        <v>0</v>
      </c>
      <c r="G182">
        <v>0</v>
      </c>
      <c r="H182">
        <v>4</v>
      </c>
      <c r="I182">
        <v>28</v>
      </c>
      <c r="J182">
        <v>2</v>
      </c>
      <c r="K182">
        <v>7</v>
      </c>
    </row>
    <row r="183" spans="1:11" x14ac:dyDescent="0.3">
      <c r="A183" t="s">
        <v>318</v>
      </c>
      <c r="B183" t="s">
        <v>83</v>
      </c>
      <c r="C183">
        <v>70</v>
      </c>
      <c r="D183">
        <v>40</v>
      </c>
      <c r="E183">
        <v>7</v>
      </c>
      <c r="F183">
        <v>3</v>
      </c>
      <c r="G183">
        <v>175</v>
      </c>
      <c r="H183">
        <v>0</v>
      </c>
      <c r="I183">
        <v>0</v>
      </c>
      <c r="J183">
        <v>0</v>
      </c>
      <c r="K183">
        <v>0</v>
      </c>
    </row>
    <row r="184" spans="1:11" x14ac:dyDescent="0.3">
      <c r="A184" t="s">
        <v>319</v>
      </c>
      <c r="B184" t="s">
        <v>93</v>
      </c>
      <c r="C184">
        <v>0</v>
      </c>
      <c r="D184">
        <v>0</v>
      </c>
      <c r="E184">
        <v>0</v>
      </c>
      <c r="F184">
        <v>0</v>
      </c>
      <c r="G184">
        <v>0</v>
      </c>
      <c r="H184">
        <v>4</v>
      </c>
      <c r="I184">
        <v>35</v>
      </c>
      <c r="J184">
        <v>1</v>
      </c>
      <c r="K184">
        <v>8.75</v>
      </c>
    </row>
    <row r="185" spans="1:11" x14ac:dyDescent="0.3">
      <c r="A185" t="s">
        <v>320</v>
      </c>
      <c r="B185" t="s">
        <v>96</v>
      </c>
      <c r="C185">
        <v>85</v>
      </c>
      <c r="D185">
        <v>50</v>
      </c>
      <c r="E185">
        <v>8</v>
      </c>
      <c r="F185">
        <v>4</v>
      </c>
      <c r="G185">
        <v>170</v>
      </c>
      <c r="H185">
        <v>0</v>
      </c>
      <c r="I185">
        <v>0</v>
      </c>
      <c r="J185">
        <v>0</v>
      </c>
      <c r="K185">
        <v>0</v>
      </c>
    </row>
    <row r="186" spans="1:11" x14ac:dyDescent="0.3">
      <c r="A186" t="s">
        <v>321</v>
      </c>
      <c r="B186" t="s">
        <v>15</v>
      </c>
      <c r="C186">
        <v>0</v>
      </c>
      <c r="D186">
        <v>0</v>
      </c>
      <c r="E186">
        <v>0</v>
      </c>
      <c r="F186">
        <v>0</v>
      </c>
      <c r="G186">
        <v>0</v>
      </c>
      <c r="H186">
        <v>4</v>
      </c>
      <c r="I186">
        <v>22</v>
      </c>
      <c r="J186">
        <v>3</v>
      </c>
      <c r="K186">
        <v>5.5</v>
      </c>
    </row>
    <row r="187" spans="1:11" x14ac:dyDescent="0.3">
      <c r="A187" t="s">
        <v>322</v>
      </c>
      <c r="B187" t="s">
        <v>45</v>
      </c>
      <c r="C187">
        <v>0</v>
      </c>
      <c r="D187">
        <v>0</v>
      </c>
      <c r="E187">
        <v>0</v>
      </c>
      <c r="F187">
        <v>0</v>
      </c>
      <c r="G187">
        <v>0</v>
      </c>
      <c r="H187">
        <v>4</v>
      </c>
      <c r="I187">
        <v>30</v>
      </c>
      <c r="J187">
        <v>2</v>
      </c>
      <c r="K187">
        <v>7.5</v>
      </c>
    </row>
    <row r="188" spans="1:11" x14ac:dyDescent="0.3">
      <c r="A188" t="s">
        <v>323</v>
      </c>
      <c r="B188" t="s">
        <v>19</v>
      </c>
      <c r="C188">
        <v>60</v>
      </c>
      <c r="D188">
        <v>35</v>
      </c>
      <c r="E188">
        <v>6</v>
      </c>
      <c r="F188">
        <v>2</v>
      </c>
      <c r="G188">
        <v>171.43</v>
      </c>
      <c r="H188">
        <v>0</v>
      </c>
      <c r="I188">
        <v>0</v>
      </c>
      <c r="J188">
        <v>0</v>
      </c>
      <c r="K188">
        <v>0</v>
      </c>
    </row>
    <row r="189" spans="1:11" x14ac:dyDescent="0.3">
      <c r="A189" t="s">
        <v>324</v>
      </c>
      <c r="B189" t="s">
        <v>88</v>
      </c>
      <c r="C189">
        <v>0</v>
      </c>
      <c r="D189">
        <v>0</v>
      </c>
      <c r="E189">
        <v>0</v>
      </c>
      <c r="F189">
        <v>0</v>
      </c>
      <c r="G189">
        <v>0</v>
      </c>
      <c r="H189">
        <v>4</v>
      </c>
      <c r="I189">
        <v>30</v>
      </c>
      <c r="J189">
        <v>3</v>
      </c>
      <c r="K189">
        <v>7.5</v>
      </c>
    </row>
    <row r="190" spans="1:11" x14ac:dyDescent="0.3">
      <c r="A190" t="s">
        <v>325</v>
      </c>
      <c r="B190" t="s">
        <v>8</v>
      </c>
      <c r="C190">
        <v>75</v>
      </c>
      <c r="D190">
        <v>45</v>
      </c>
      <c r="E190">
        <v>7</v>
      </c>
      <c r="F190">
        <v>3</v>
      </c>
      <c r="G190">
        <v>166.67</v>
      </c>
      <c r="H190">
        <v>0</v>
      </c>
      <c r="I190">
        <v>0</v>
      </c>
      <c r="J190">
        <v>0</v>
      </c>
      <c r="K190">
        <v>0</v>
      </c>
    </row>
    <row r="191" spans="1:11" x14ac:dyDescent="0.3">
      <c r="A191" t="s">
        <v>326</v>
      </c>
      <c r="B191" t="s">
        <v>33</v>
      </c>
      <c r="C191">
        <v>0</v>
      </c>
      <c r="D191">
        <v>0</v>
      </c>
      <c r="E191">
        <v>0</v>
      </c>
      <c r="F191">
        <v>0</v>
      </c>
      <c r="G191">
        <v>0</v>
      </c>
      <c r="H191">
        <v>4</v>
      </c>
      <c r="I191">
        <v>28</v>
      </c>
      <c r="J191">
        <v>2</v>
      </c>
      <c r="K191">
        <v>7</v>
      </c>
    </row>
    <row r="192" spans="1:11" x14ac:dyDescent="0.3">
      <c r="A192" t="s">
        <v>327</v>
      </c>
      <c r="B192" t="s">
        <v>52</v>
      </c>
      <c r="C192">
        <v>65</v>
      </c>
      <c r="D192">
        <v>40</v>
      </c>
      <c r="E192">
        <v>6</v>
      </c>
      <c r="F192">
        <v>3</v>
      </c>
      <c r="G192">
        <v>162.5</v>
      </c>
      <c r="H192">
        <v>0</v>
      </c>
      <c r="I192">
        <v>0</v>
      </c>
      <c r="J192">
        <v>0</v>
      </c>
      <c r="K192">
        <v>0</v>
      </c>
    </row>
    <row r="193" spans="1:11" x14ac:dyDescent="0.3">
      <c r="A193" t="s">
        <v>328</v>
      </c>
      <c r="B193" t="s">
        <v>74</v>
      </c>
      <c r="C193">
        <v>95</v>
      </c>
      <c r="D193">
        <v>50</v>
      </c>
      <c r="E193">
        <v>10</v>
      </c>
      <c r="F193">
        <v>4</v>
      </c>
      <c r="G193">
        <v>190</v>
      </c>
      <c r="H193">
        <v>0</v>
      </c>
      <c r="I193">
        <v>0</v>
      </c>
      <c r="J193">
        <v>0</v>
      </c>
      <c r="K193">
        <v>0</v>
      </c>
    </row>
    <row r="194" spans="1:11" x14ac:dyDescent="0.3">
      <c r="A194" t="s">
        <v>329</v>
      </c>
      <c r="B194" t="s">
        <v>80</v>
      </c>
      <c r="C194">
        <v>0</v>
      </c>
      <c r="D194">
        <v>0</v>
      </c>
      <c r="E194">
        <v>0</v>
      </c>
      <c r="F194">
        <v>0</v>
      </c>
      <c r="G194">
        <v>0</v>
      </c>
      <c r="H194">
        <v>4</v>
      </c>
      <c r="I194">
        <v>25</v>
      </c>
      <c r="J194">
        <v>2</v>
      </c>
      <c r="K194">
        <v>6.25</v>
      </c>
    </row>
    <row r="195" spans="1:11" x14ac:dyDescent="0.3">
      <c r="A195" t="s">
        <v>330</v>
      </c>
      <c r="B195" t="s">
        <v>83</v>
      </c>
      <c r="C195">
        <v>80</v>
      </c>
      <c r="D195">
        <v>45</v>
      </c>
      <c r="E195">
        <v>8</v>
      </c>
      <c r="F195">
        <v>3</v>
      </c>
      <c r="G195">
        <v>177.78</v>
      </c>
      <c r="H195">
        <v>0</v>
      </c>
      <c r="I195">
        <v>0</v>
      </c>
      <c r="J195">
        <v>0</v>
      </c>
      <c r="K195">
        <v>0</v>
      </c>
    </row>
    <row r="196" spans="1:11" x14ac:dyDescent="0.3">
      <c r="A196" t="s">
        <v>331</v>
      </c>
      <c r="B196" t="s">
        <v>42</v>
      </c>
      <c r="C196">
        <v>45</v>
      </c>
      <c r="D196">
        <v>25</v>
      </c>
      <c r="E196">
        <v>4</v>
      </c>
      <c r="F196">
        <v>2</v>
      </c>
      <c r="G196">
        <v>180</v>
      </c>
      <c r="H196">
        <v>0</v>
      </c>
      <c r="I196">
        <v>0</v>
      </c>
      <c r="J196">
        <v>0</v>
      </c>
      <c r="K196">
        <v>0</v>
      </c>
    </row>
    <row r="197" spans="1:11" x14ac:dyDescent="0.3">
      <c r="A197" t="s">
        <v>332</v>
      </c>
      <c r="B197" t="s">
        <v>58</v>
      </c>
      <c r="C197">
        <v>35</v>
      </c>
      <c r="D197">
        <v>20</v>
      </c>
      <c r="E197">
        <v>4</v>
      </c>
      <c r="F197">
        <v>2</v>
      </c>
      <c r="G197">
        <v>175</v>
      </c>
      <c r="H197">
        <v>4</v>
      </c>
      <c r="I197">
        <v>30</v>
      </c>
      <c r="J197">
        <v>2</v>
      </c>
      <c r="K197">
        <v>7.5</v>
      </c>
    </row>
    <row r="198" spans="1:11" x14ac:dyDescent="0.3">
      <c r="A198" t="s">
        <v>333</v>
      </c>
      <c r="B198" t="s">
        <v>60</v>
      </c>
      <c r="C198">
        <v>0</v>
      </c>
      <c r="D198">
        <v>0</v>
      </c>
      <c r="E198">
        <v>0</v>
      </c>
      <c r="F198">
        <v>0</v>
      </c>
      <c r="G198">
        <v>0</v>
      </c>
      <c r="H198">
        <v>4</v>
      </c>
      <c r="I198">
        <v>25</v>
      </c>
      <c r="J198">
        <v>2</v>
      </c>
      <c r="K198">
        <v>6.25</v>
      </c>
    </row>
    <row r="199" spans="1:11" x14ac:dyDescent="0.3">
      <c r="A199" t="s">
        <v>334</v>
      </c>
      <c r="B199" t="s">
        <v>30</v>
      </c>
      <c r="C199">
        <v>90</v>
      </c>
      <c r="D199">
        <v>50</v>
      </c>
      <c r="E199">
        <v>9</v>
      </c>
      <c r="F199">
        <v>4</v>
      </c>
      <c r="G199">
        <v>180</v>
      </c>
      <c r="H199">
        <v>0</v>
      </c>
      <c r="I199">
        <v>0</v>
      </c>
      <c r="J199">
        <v>0</v>
      </c>
      <c r="K199">
        <v>0</v>
      </c>
    </row>
    <row r="200" spans="1:11" x14ac:dyDescent="0.3">
      <c r="A200" t="s">
        <v>335</v>
      </c>
      <c r="B200" t="s">
        <v>36</v>
      </c>
      <c r="C200">
        <v>50</v>
      </c>
      <c r="D200">
        <v>30</v>
      </c>
      <c r="E200">
        <v>5</v>
      </c>
      <c r="F200">
        <v>2</v>
      </c>
      <c r="G200">
        <v>166.67</v>
      </c>
      <c r="H200">
        <v>0</v>
      </c>
      <c r="I200">
        <v>0</v>
      </c>
      <c r="J200">
        <v>0</v>
      </c>
      <c r="K200">
        <v>0</v>
      </c>
    </row>
    <row r="201" spans="1:11" x14ac:dyDescent="0.3">
      <c r="A201" t="s">
        <v>336</v>
      </c>
      <c r="B201" t="s">
        <v>101</v>
      </c>
      <c r="C201">
        <v>80</v>
      </c>
      <c r="D201">
        <v>45</v>
      </c>
      <c r="E201">
        <v>8</v>
      </c>
      <c r="F201">
        <v>3</v>
      </c>
      <c r="G201">
        <v>177.78</v>
      </c>
      <c r="H201">
        <v>0</v>
      </c>
      <c r="I201">
        <v>0</v>
      </c>
      <c r="J201">
        <v>0</v>
      </c>
      <c r="K201">
        <v>0</v>
      </c>
    </row>
    <row r="202" spans="1:11" x14ac:dyDescent="0.3">
      <c r="A202" t="s">
        <v>337</v>
      </c>
      <c r="B202" t="s">
        <v>103</v>
      </c>
      <c r="C202">
        <v>60</v>
      </c>
      <c r="D202">
        <v>35</v>
      </c>
      <c r="E202">
        <v>6</v>
      </c>
      <c r="F202">
        <v>3</v>
      </c>
      <c r="G202">
        <v>171.43</v>
      </c>
      <c r="H202">
        <v>0</v>
      </c>
      <c r="I202">
        <v>0</v>
      </c>
      <c r="J202">
        <v>0</v>
      </c>
      <c r="K202">
        <v>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4DC3A-874D-40A3-9F1F-2BBEC0CC7B66}">
  <sheetPr codeName="Sheet4"/>
  <dimension ref="A1:N61"/>
  <sheetViews>
    <sheetView topLeftCell="A2" workbookViewId="0">
      <selection activeCell="H26" sqref="A2:N61"/>
    </sheetView>
  </sheetViews>
  <sheetFormatPr defaultRowHeight="14.4" x14ac:dyDescent="0.3"/>
  <cols>
    <col min="1" max="1" width="10.88671875" bestFit="1" customWidth="1"/>
    <col min="2" max="2" width="10.33203125" bestFit="1" customWidth="1"/>
    <col min="3" max="3" width="10.88671875" bestFit="1" customWidth="1"/>
    <col min="4" max="5" width="11.33203125" bestFit="1" customWidth="1"/>
    <col min="6" max="6" width="13.5546875" bestFit="1" customWidth="1"/>
    <col min="7" max="7" width="15" bestFit="1" customWidth="1"/>
    <col min="8" max="8" width="14.88671875" bestFit="1" customWidth="1"/>
    <col min="9" max="10" width="13.5546875" bestFit="1" customWidth="1"/>
    <col min="11" max="12" width="16.44140625" bestFit="1" customWidth="1"/>
    <col min="13" max="14" width="14.33203125" bestFit="1" customWidth="1"/>
  </cols>
  <sheetData>
    <row r="1" spans="1:14" x14ac:dyDescent="0.3">
      <c r="A1" t="s">
        <v>176</v>
      </c>
      <c r="B1" t="s">
        <v>177</v>
      </c>
      <c r="C1" t="s">
        <v>105</v>
      </c>
      <c r="D1" t="s">
        <v>178</v>
      </c>
      <c r="E1" t="s">
        <v>179</v>
      </c>
      <c r="F1" t="s">
        <v>180</v>
      </c>
      <c r="G1" t="s">
        <v>181</v>
      </c>
      <c r="H1" t="s">
        <v>182</v>
      </c>
      <c r="I1" t="s">
        <v>183</v>
      </c>
      <c r="J1" t="s">
        <v>184</v>
      </c>
      <c r="K1" t="s">
        <v>185</v>
      </c>
      <c r="L1" t="s">
        <v>186</v>
      </c>
      <c r="M1" t="s">
        <v>187</v>
      </c>
      <c r="N1" t="s">
        <v>188</v>
      </c>
    </row>
    <row r="2" spans="1:14" x14ac:dyDescent="0.3">
      <c r="A2" t="s">
        <v>189</v>
      </c>
      <c r="B2" s="1">
        <v>45738</v>
      </c>
      <c r="C2" t="s">
        <v>112</v>
      </c>
      <c r="D2" t="s">
        <v>32</v>
      </c>
      <c r="E2" t="s">
        <v>44</v>
      </c>
      <c r="F2" t="s">
        <v>32</v>
      </c>
      <c r="G2" t="s">
        <v>32</v>
      </c>
      <c r="H2" t="s">
        <v>30</v>
      </c>
      <c r="I2">
        <v>192</v>
      </c>
      <c r="J2">
        <v>174</v>
      </c>
      <c r="K2">
        <v>4</v>
      </c>
      <c r="L2">
        <v>8</v>
      </c>
      <c r="M2">
        <v>20</v>
      </c>
      <c r="N2">
        <v>20</v>
      </c>
    </row>
    <row r="3" spans="1:14" x14ac:dyDescent="0.3">
      <c r="A3" t="s">
        <v>190</v>
      </c>
      <c r="B3" s="1">
        <v>45739</v>
      </c>
      <c r="C3" t="s">
        <v>130</v>
      </c>
      <c r="D3" t="s">
        <v>98</v>
      </c>
      <c r="E3" t="s">
        <v>65</v>
      </c>
      <c r="F3" t="s">
        <v>98</v>
      </c>
      <c r="G3" t="s">
        <v>98</v>
      </c>
      <c r="H3" t="s">
        <v>103</v>
      </c>
      <c r="I3">
        <v>184</v>
      </c>
      <c r="J3">
        <v>183</v>
      </c>
      <c r="K3">
        <v>7</v>
      </c>
      <c r="L3">
        <v>9</v>
      </c>
      <c r="M3">
        <v>20</v>
      </c>
      <c r="N3">
        <v>20</v>
      </c>
    </row>
    <row r="4" spans="1:14" x14ac:dyDescent="0.3">
      <c r="A4" t="s">
        <v>191</v>
      </c>
      <c r="B4" s="1">
        <v>45739</v>
      </c>
      <c r="C4" t="s">
        <v>118</v>
      </c>
      <c r="D4" t="s">
        <v>54</v>
      </c>
      <c r="E4" t="s">
        <v>87</v>
      </c>
      <c r="F4" t="s">
        <v>87</v>
      </c>
      <c r="G4" t="s">
        <v>54</v>
      </c>
      <c r="H4" t="s">
        <v>55</v>
      </c>
      <c r="I4">
        <v>208</v>
      </c>
      <c r="J4">
        <v>198</v>
      </c>
      <c r="K4">
        <v>6</v>
      </c>
      <c r="L4">
        <v>7</v>
      </c>
      <c r="M4">
        <v>20</v>
      </c>
      <c r="N4">
        <v>20</v>
      </c>
    </row>
    <row r="5" spans="1:14" x14ac:dyDescent="0.3">
      <c r="A5" t="s">
        <v>192</v>
      </c>
      <c r="B5" s="1">
        <v>45740</v>
      </c>
      <c r="C5" t="s">
        <v>124</v>
      </c>
      <c r="D5" t="s">
        <v>76</v>
      </c>
      <c r="E5" t="s">
        <v>10</v>
      </c>
      <c r="F5" t="s">
        <v>10</v>
      </c>
      <c r="G5" t="s">
        <v>76</v>
      </c>
      <c r="H5" t="s">
        <v>74</v>
      </c>
      <c r="I5">
        <v>193</v>
      </c>
      <c r="J5">
        <v>165</v>
      </c>
      <c r="K5">
        <v>5</v>
      </c>
      <c r="L5">
        <v>10</v>
      </c>
      <c r="M5">
        <v>20</v>
      </c>
      <c r="N5">
        <v>17.2</v>
      </c>
    </row>
    <row r="6" spans="1:14" x14ac:dyDescent="0.3">
      <c r="A6" t="s">
        <v>193</v>
      </c>
      <c r="B6" s="1">
        <v>45741</v>
      </c>
      <c r="C6" t="s">
        <v>115</v>
      </c>
      <c r="D6" t="s">
        <v>44</v>
      </c>
      <c r="E6" t="s">
        <v>76</v>
      </c>
      <c r="F6" t="s">
        <v>44</v>
      </c>
      <c r="G6" t="s">
        <v>76</v>
      </c>
      <c r="H6" t="s">
        <v>83</v>
      </c>
      <c r="I6">
        <v>181</v>
      </c>
      <c r="J6">
        <v>185</v>
      </c>
      <c r="K6">
        <v>5</v>
      </c>
      <c r="L6">
        <v>4</v>
      </c>
      <c r="M6">
        <v>20</v>
      </c>
      <c r="N6">
        <v>19.3</v>
      </c>
    </row>
    <row r="7" spans="1:14" x14ac:dyDescent="0.3">
      <c r="A7" t="s">
        <v>194</v>
      </c>
      <c r="B7" s="1">
        <v>45742</v>
      </c>
      <c r="C7" t="s">
        <v>121</v>
      </c>
      <c r="D7" t="s">
        <v>65</v>
      </c>
      <c r="E7" t="s">
        <v>54</v>
      </c>
      <c r="F7" t="s">
        <v>65</v>
      </c>
      <c r="G7" t="s">
        <v>54</v>
      </c>
      <c r="H7" t="s">
        <v>58</v>
      </c>
      <c r="I7">
        <v>164</v>
      </c>
      <c r="J7">
        <v>165</v>
      </c>
      <c r="K7">
        <v>8</v>
      </c>
      <c r="L7">
        <v>3</v>
      </c>
      <c r="M7">
        <v>20</v>
      </c>
      <c r="N7">
        <v>18.399999999999999</v>
      </c>
    </row>
    <row r="8" spans="1:14" x14ac:dyDescent="0.3">
      <c r="A8" t="s">
        <v>195</v>
      </c>
      <c r="B8" s="1">
        <v>45743</v>
      </c>
      <c r="C8" t="s">
        <v>112</v>
      </c>
      <c r="D8" t="s">
        <v>32</v>
      </c>
      <c r="E8" t="s">
        <v>87</v>
      </c>
      <c r="F8" t="s">
        <v>87</v>
      </c>
      <c r="G8" t="s">
        <v>32</v>
      </c>
      <c r="H8" t="s">
        <v>33</v>
      </c>
      <c r="I8">
        <v>178</v>
      </c>
      <c r="J8">
        <v>169</v>
      </c>
      <c r="K8">
        <v>6</v>
      </c>
      <c r="L8">
        <v>9</v>
      </c>
      <c r="M8">
        <v>20</v>
      </c>
      <c r="N8">
        <v>20</v>
      </c>
    </row>
    <row r="9" spans="1:14" x14ac:dyDescent="0.3">
      <c r="A9" t="s">
        <v>196</v>
      </c>
      <c r="B9" s="1">
        <v>45744</v>
      </c>
      <c r="C9" t="s">
        <v>109</v>
      </c>
      <c r="D9" t="s">
        <v>10</v>
      </c>
      <c r="E9" t="s">
        <v>98</v>
      </c>
      <c r="F9" t="s">
        <v>10</v>
      </c>
      <c r="G9" t="s">
        <v>98</v>
      </c>
      <c r="H9" t="s">
        <v>101</v>
      </c>
      <c r="I9">
        <v>154</v>
      </c>
      <c r="J9">
        <v>155</v>
      </c>
      <c r="K9">
        <v>10</v>
      </c>
      <c r="L9">
        <v>3</v>
      </c>
      <c r="M9">
        <v>19.5</v>
      </c>
      <c r="N9">
        <v>17</v>
      </c>
    </row>
    <row r="10" spans="1:14" x14ac:dyDescent="0.3">
      <c r="A10" t="s">
        <v>197</v>
      </c>
      <c r="B10" s="1">
        <v>45745</v>
      </c>
      <c r="C10" t="s">
        <v>118</v>
      </c>
      <c r="D10" t="s">
        <v>54</v>
      </c>
      <c r="E10" t="s">
        <v>44</v>
      </c>
      <c r="F10" t="s">
        <v>44</v>
      </c>
      <c r="G10" t="s">
        <v>54</v>
      </c>
      <c r="H10" t="s">
        <v>60</v>
      </c>
      <c r="I10">
        <v>171</v>
      </c>
      <c r="J10">
        <v>156</v>
      </c>
      <c r="K10">
        <v>5</v>
      </c>
      <c r="L10">
        <v>9</v>
      </c>
      <c r="M10">
        <v>20</v>
      </c>
      <c r="N10">
        <v>18.3</v>
      </c>
    </row>
    <row r="11" spans="1:14" x14ac:dyDescent="0.3">
      <c r="A11" t="s">
        <v>198</v>
      </c>
      <c r="B11" s="1">
        <v>45746</v>
      </c>
      <c r="C11" t="s">
        <v>124</v>
      </c>
      <c r="D11" t="s">
        <v>76</v>
      </c>
      <c r="E11" t="s">
        <v>65</v>
      </c>
      <c r="F11" t="s">
        <v>65</v>
      </c>
      <c r="G11" t="s">
        <v>65</v>
      </c>
      <c r="H11" t="s">
        <v>66</v>
      </c>
      <c r="I11">
        <v>149</v>
      </c>
      <c r="J11">
        <v>150</v>
      </c>
      <c r="K11">
        <v>9</v>
      </c>
      <c r="L11">
        <v>4</v>
      </c>
      <c r="M11">
        <v>20</v>
      </c>
      <c r="N11">
        <v>18.100000000000001</v>
      </c>
    </row>
    <row r="12" spans="1:14" x14ac:dyDescent="0.3">
      <c r="A12" t="s">
        <v>199</v>
      </c>
      <c r="B12" s="1">
        <v>45747</v>
      </c>
      <c r="C12" t="s">
        <v>127</v>
      </c>
      <c r="D12" t="s">
        <v>87</v>
      </c>
      <c r="E12" t="s">
        <v>10</v>
      </c>
      <c r="F12" t="s">
        <v>10</v>
      </c>
      <c r="G12" t="s">
        <v>87</v>
      </c>
      <c r="H12" t="s">
        <v>85</v>
      </c>
      <c r="I12">
        <v>177</v>
      </c>
      <c r="J12">
        <v>152</v>
      </c>
      <c r="K12">
        <v>7</v>
      </c>
      <c r="L12">
        <v>8</v>
      </c>
      <c r="M12">
        <v>20</v>
      </c>
      <c r="N12">
        <v>18.399999999999999</v>
      </c>
    </row>
    <row r="13" spans="1:14" x14ac:dyDescent="0.3">
      <c r="A13" t="s">
        <v>200</v>
      </c>
      <c r="B13" s="1">
        <v>45748</v>
      </c>
      <c r="C13" t="s">
        <v>130</v>
      </c>
      <c r="D13" t="s">
        <v>98</v>
      </c>
      <c r="E13" t="s">
        <v>32</v>
      </c>
      <c r="F13" t="s">
        <v>32</v>
      </c>
      <c r="G13" t="s">
        <v>32</v>
      </c>
      <c r="H13" t="s">
        <v>36</v>
      </c>
      <c r="I13">
        <v>161</v>
      </c>
      <c r="J13">
        <v>162</v>
      </c>
      <c r="K13">
        <v>8</v>
      </c>
      <c r="L13">
        <v>6</v>
      </c>
      <c r="M13">
        <v>20</v>
      </c>
      <c r="N13">
        <v>19.2</v>
      </c>
    </row>
    <row r="14" spans="1:14" x14ac:dyDescent="0.3">
      <c r="A14" t="s">
        <v>201</v>
      </c>
      <c r="B14" s="1">
        <v>45749</v>
      </c>
      <c r="C14" t="s">
        <v>115</v>
      </c>
      <c r="D14" t="s">
        <v>44</v>
      </c>
      <c r="E14" t="s">
        <v>65</v>
      </c>
      <c r="F14" t="s">
        <v>65</v>
      </c>
      <c r="G14" t="s">
        <v>44</v>
      </c>
      <c r="H14" t="s">
        <v>42</v>
      </c>
      <c r="I14">
        <v>198</v>
      </c>
      <c r="J14">
        <v>187</v>
      </c>
      <c r="K14">
        <v>3</v>
      </c>
      <c r="L14">
        <v>8</v>
      </c>
      <c r="M14">
        <v>20</v>
      </c>
      <c r="N14">
        <v>20</v>
      </c>
    </row>
    <row r="15" spans="1:14" x14ac:dyDescent="0.3">
      <c r="A15" t="s">
        <v>202</v>
      </c>
      <c r="B15" s="1">
        <v>45750</v>
      </c>
      <c r="C15" t="s">
        <v>109</v>
      </c>
      <c r="D15" t="s">
        <v>10</v>
      </c>
      <c r="E15" t="s">
        <v>76</v>
      </c>
      <c r="F15" t="s">
        <v>76</v>
      </c>
      <c r="G15" t="s">
        <v>10</v>
      </c>
      <c r="H15" t="s">
        <v>8</v>
      </c>
      <c r="I15">
        <v>188</v>
      </c>
      <c r="J15">
        <v>186</v>
      </c>
      <c r="K15">
        <v>6</v>
      </c>
      <c r="L15">
        <v>8</v>
      </c>
      <c r="M15">
        <v>20</v>
      </c>
      <c r="N15">
        <v>20</v>
      </c>
    </row>
    <row r="16" spans="1:14" x14ac:dyDescent="0.3">
      <c r="A16" t="s">
        <v>203</v>
      </c>
      <c r="B16" s="1">
        <v>45751</v>
      </c>
      <c r="C16" t="s">
        <v>118</v>
      </c>
      <c r="D16" t="s">
        <v>54</v>
      </c>
      <c r="E16" t="s">
        <v>98</v>
      </c>
      <c r="F16" t="s">
        <v>98</v>
      </c>
      <c r="G16" t="s">
        <v>98</v>
      </c>
      <c r="H16" t="s">
        <v>96</v>
      </c>
      <c r="I16">
        <v>169</v>
      </c>
      <c r="J16">
        <v>170</v>
      </c>
      <c r="K16">
        <v>8</v>
      </c>
      <c r="L16">
        <v>4</v>
      </c>
      <c r="M16">
        <v>20</v>
      </c>
      <c r="N16">
        <v>19.100000000000001</v>
      </c>
    </row>
    <row r="17" spans="1:14" x14ac:dyDescent="0.3">
      <c r="A17" t="s">
        <v>204</v>
      </c>
      <c r="B17" s="1">
        <v>45752</v>
      </c>
      <c r="C17" t="s">
        <v>121</v>
      </c>
      <c r="D17" t="s">
        <v>65</v>
      </c>
      <c r="E17" t="s">
        <v>87</v>
      </c>
      <c r="F17" t="s">
        <v>65</v>
      </c>
      <c r="G17" t="s">
        <v>87</v>
      </c>
      <c r="H17" t="s">
        <v>88</v>
      </c>
      <c r="I17">
        <v>155</v>
      </c>
      <c r="J17">
        <v>156</v>
      </c>
      <c r="K17">
        <v>10</v>
      </c>
      <c r="L17">
        <v>6</v>
      </c>
      <c r="M17">
        <v>20</v>
      </c>
      <c r="N17">
        <v>19.399999999999999</v>
      </c>
    </row>
    <row r="18" spans="1:14" x14ac:dyDescent="0.3">
      <c r="A18" t="s">
        <v>205</v>
      </c>
      <c r="B18" s="1">
        <v>45753</v>
      </c>
      <c r="C18" t="s">
        <v>112</v>
      </c>
      <c r="D18" t="s">
        <v>32</v>
      </c>
      <c r="E18" t="s">
        <v>10</v>
      </c>
      <c r="F18" t="s">
        <v>10</v>
      </c>
      <c r="G18" t="s">
        <v>32</v>
      </c>
      <c r="H18" t="s">
        <v>30</v>
      </c>
      <c r="I18">
        <v>180</v>
      </c>
      <c r="J18">
        <v>178</v>
      </c>
      <c r="K18">
        <v>5</v>
      </c>
      <c r="L18">
        <v>8</v>
      </c>
      <c r="M18">
        <v>20</v>
      </c>
      <c r="N18">
        <v>20</v>
      </c>
    </row>
    <row r="19" spans="1:14" x14ac:dyDescent="0.3">
      <c r="A19" t="s">
        <v>206</v>
      </c>
      <c r="B19" s="1">
        <v>45754</v>
      </c>
      <c r="C19" t="s">
        <v>115</v>
      </c>
      <c r="D19" t="s">
        <v>44</v>
      </c>
      <c r="E19" t="s">
        <v>98</v>
      </c>
      <c r="F19" t="s">
        <v>44</v>
      </c>
      <c r="G19" t="s">
        <v>44</v>
      </c>
      <c r="H19" t="s">
        <v>47</v>
      </c>
      <c r="I19">
        <v>194</v>
      </c>
      <c r="J19">
        <v>188</v>
      </c>
      <c r="K19">
        <v>6</v>
      </c>
      <c r="L19">
        <v>7</v>
      </c>
      <c r="M19">
        <v>20</v>
      </c>
      <c r="N19">
        <v>20</v>
      </c>
    </row>
    <row r="20" spans="1:14" x14ac:dyDescent="0.3">
      <c r="A20" t="s">
        <v>207</v>
      </c>
      <c r="B20" s="1">
        <v>45755</v>
      </c>
      <c r="C20" t="s">
        <v>124</v>
      </c>
      <c r="D20" t="s">
        <v>76</v>
      </c>
      <c r="E20" t="s">
        <v>54</v>
      </c>
      <c r="F20" t="s">
        <v>54</v>
      </c>
      <c r="G20" t="s">
        <v>76</v>
      </c>
      <c r="H20" t="s">
        <v>78</v>
      </c>
      <c r="I20">
        <v>172</v>
      </c>
      <c r="J20">
        <v>171</v>
      </c>
      <c r="K20">
        <v>9</v>
      </c>
      <c r="L20">
        <v>10</v>
      </c>
      <c r="M20">
        <v>20</v>
      </c>
      <c r="N20">
        <v>20</v>
      </c>
    </row>
    <row r="21" spans="1:14" x14ac:dyDescent="0.3">
      <c r="A21" t="s">
        <v>208</v>
      </c>
      <c r="B21" s="1">
        <v>45756</v>
      </c>
      <c r="C21" t="s">
        <v>127</v>
      </c>
      <c r="D21" t="s">
        <v>87</v>
      </c>
      <c r="E21" t="s">
        <v>65</v>
      </c>
      <c r="F21" t="s">
        <v>65</v>
      </c>
      <c r="G21" t="s">
        <v>65</v>
      </c>
      <c r="H21" t="s">
        <v>69</v>
      </c>
      <c r="I21">
        <v>166</v>
      </c>
      <c r="J21">
        <v>167</v>
      </c>
      <c r="K21">
        <v>7</v>
      </c>
      <c r="L21">
        <v>5</v>
      </c>
      <c r="M21">
        <v>20</v>
      </c>
      <c r="N21">
        <v>19.100000000000001</v>
      </c>
    </row>
    <row r="22" spans="1:14" x14ac:dyDescent="0.3">
      <c r="A22" t="s">
        <v>209</v>
      </c>
      <c r="B22" s="1">
        <v>45757</v>
      </c>
      <c r="C22" t="s">
        <v>109</v>
      </c>
      <c r="D22" t="s">
        <v>10</v>
      </c>
      <c r="E22" t="s">
        <v>54</v>
      </c>
      <c r="F22" t="s">
        <v>54</v>
      </c>
      <c r="G22" t="s">
        <v>10</v>
      </c>
      <c r="H22" t="s">
        <v>15</v>
      </c>
      <c r="I22">
        <v>175</v>
      </c>
      <c r="J22">
        <v>170</v>
      </c>
      <c r="K22">
        <v>7</v>
      </c>
      <c r="L22">
        <v>9</v>
      </c>
      <c r="M22">
        <v>20</v>
      </c>
      <c r="N22">
        <v>20</v>
      </c>
    </row>
    <row r="23" spans="1:14" x14ac:dyDescent="0.3">
      <c r="A23" t="s">
        <v>210</v>
      </c>
      <c r="B23" s="1">
        <v>45758</v>
      </c>
      <c r="C23" t="s">
        <v>130</v>
      </c>
      <c r="D23" t="s">
        <v>98</v>
      </c>
      <c r="E23" t="s">
        <v>76</v>
      </c>
      <c r="F23" t="s">
        <v>76</v>
      </c>
      <c r="G23" t="s">
        <v>98</v>
      </c>
      <c r="H23" t="s">
        <v>99</v>
      </c>
      <c r="I23">
        <v>159</v>
      </c>
      <c r="J23">
        <v>158</v>
      </c>
      <c r="K23">
        <v>6</v>
      </c>
      <c r="L23">
        <v>7</v>
      </c>
      <c r="M23">
        <v>20</v>
      </c>
      <c r="N23">
        <v>20</v>
      </c>
    </row>
    <row r="24" spans="1:14" x14ac:dyDescent="0.3">
      <c r="A24" t="s">
        <v>211</v>
      </c>
      <c r="B24" s="1">
        <v>45759</v>
      </c>
      <c r="C24" t="s">
        <v>112</v>
      </c>
      <c r="D24" t="s">
        <v>32</v>
      </c>
      <c r="E24" t="s">
        <v>44</v>
      </c>
      <c r="F24" t="s">
        <v>44</v>
      </c>
      <c r="G24" t="s">
        <v>44</v>
      </c>
      <c r="H24" t="s">
        <v>42</v>
      </c>
      <c r="I24">
        <v>183</v>
      </c>
      <c r="J24">
        <v>184</v>
      </c>
      <c r="K24">
        <v>8</v>
      </c>
      <c r="L24">
        <v>6</v>
      </c>
      <c r="M24">
        <v>20</v>
      </c>
      <c r="N24">
        <v>19.399999999999999</v>
      </c>
    </row>
    <row r="25" spans="1:14" x14ac:dyDescent="0.3">
      <c r="A25" t="s">
        <v>212</v>
      </c>
      <c r="B25" s="1">
        <v>45760</v>
      </c>
      <c r="C25" t="s">
        <v>121</v>
      </c>
      <c r="D25" t="s">
        <v>65</v>
      </c>
      <c r="E25" t="s">
        <v>10</v>
      </c>
      <c r="F25" t="s">
        <v>65</v>
      </c>
      <c r="G25" t="s">
        <v>10</v>
      </c>
      <c r="H25" t="s">
        <v>19</v>
      </c>
      <c r="I25">
        <v>168</v>
      </c>
      <c r="J25">
        <v>171</v>
      </c>
      <c r="K25">
        <v>5</v>
      </c>
      <c r="L25">
        <v>4</v>
      </c>
      <c r="M25">
        <v>20</v>
      </c>
      <c r="N25">
        <v>19.100000000000001</v>
      </c>
    </row>
    <row r="26" spans="1:14" x14ac:dyDescent="0.3">
      <c r="A26" t="s">
        <v>213</v>
      </c>
      <c r="B26" s="1">
        <v>45761</v>
      </c>
      <c r="C26" t="s">
        <v>127</v>
      </c>
      <c r="D26" t="s">
        <v>87</v>
      </c>
      <c r="E26" t="s">
        <v>98</v>
      </c>
      <c r="F26" t="s">
        <v>87</v>
      </c>
      <c r="G26" t="s">
        <v>98</v>
      </c>
      <c r="H26" t="s">
        <v>103</v>
      </c>
      <c r="I26">
        <v>186</v>
      </c>
      <c r="J26">
        <v>187</v>
      </c>
      <c r="K26">
        <v>6</v>
      </c>
      <c r="L26">
        <v>5</v>
      </c>
      <c r="M26">
        <v>20</v>
      </c>
      <c r="N26">
        <v>19.2</v>
      </c>
    </row>
    <row r="27" spans="1:14" x14ac:dyDescent="0.3">
      <c r="A27" t="s">
        <v>214</v>
      </c>
      <c r="B27" s="1">
        <v>45762</v>
      </c>
      <c r="C27" t="s">
        <v>118</v>
      </c>
      <c r="D27" t="s">
        <v>54</v>
      </c>
      <c r="E27" t="s">
        <v>32</v>
      </c>
      <c r="F27" t="s">
        <v>32</v>
      </c>
      <c r="G27" t="s">
        <v>32</v>
      </c>
      <c r="H27" t="s">
        <v>39</v>
      </c>
      <c r="I27">
        <v>160</v>
      </c>
      <c r="J27">
        <v>161</v>
      </c>
      <c r="K27">
        <v>9</v>
      </c>
      <c r="L27">
        <v>7</v>
      </c>
      <c r="M27">
        <v>20</v>
      </c>
      <c r="N27">
        <v>19.5</v>
      </c>
    </row>
    <row r="28" spans="1:14" x14ac:dyDescent="0.3">
      <c r="A28" t="s">
        <v>215</v>
      </c>
      <c r="B28" s="1">
        <v>45763</v>
      </c>
      <c r="C28" t="s">
        <v>124</v>
      </c>
      <c r="D28" t="s">
        <v>76</v>
      </c>
      <c r="E28" t="s">
        <v>44</v>
      </c>
      <c r="F28" t="s">
        <v>44</v>
      </c>
      <c r="G28" t="s">
        <v>76</v>
      </c>
      <c r="H28" t="s">
        <v>74</v>
      </c>
      <c r="I28">
        <v>190</v>
      </c>
      <c r="J28">
        <v>185</v>
      </c>
      <c r="K28">
        <v>5</v>
      </c>
      <c r="L28">
        <v>8</v>
      </c>
      <c r="M28">
        <v>20</v>
      </c>
      <c r="N28">
        <v>20</v>
      </c>
    </row>
    <row r="29" spans="1:14" x14ac:dyDescent="0.3">
      <c r="A29" t="s">
        <v>216</v>
      </c>
      <c r="B29" s="1">
        <v>45764</v>
      </c>
      <c r="C29" t="s">
        <v>109</v>
      </c>
      <c r="D29" t="s">
        <v>10</v>
      </c>
      <c r="E29" t="s">
        <v>65</v>
      </c>
      <c r="F29" t="s">
        <v>10</v>
      </c>
      <c r="G29" t="s">
        <v>10</v>
      </c>
      <c r="H29" t="s">
        <v>24</v>
      </c>
      <c r="I29">
        <v>189</v>
      </c>
      <c r="J29">
        <v>173</v>
      </c>
      <c r="K29">
        <v>3</v>
      </c>
      <c r="L29">
        <v>9</v>
      </c>
      <c r="M29">
        <v>20</v>
      </c>
      <c r="N29">
        <v>20</v>
      </c>
    </row>
    <row r="30" spans="1:14" x14ac:dyDescent="0.3">
      <c r="A30" t="s">
        <v>217</v>
      </c>
      <c r="B30" s="1">
        <v>45765</v>
      </c>
      <c r="C30" t="s">
        <v>130</v>
      </c>
      <c r="D30" t="s">
        <v>98</v>
      </c>
      <c r="E30" t="s">
        <v>87</v>
      </c>
      <c r="F30" t="s">
        <v>98</v>
      </c>
      <c r="G30" t="s">
        <v>87</v>
      </c>
      <c r="H30" t="s">
        <v>91</v>
      </c>
      <c r="I30">
        <v>157</v>
      </c>
      <c r="J30">
        <v>158</v>
      </c>
      <c r="K30">
        <v>7</v>
      </c>
      <c r="L30">
        <v>6</v>
      </c>
      <c r="M30">
        <v>20</v>
      </c>
      <c r="N30">
        <v>19.3</v>
      </c>
    </row>
    <row r="31" spans="1:14" x14ac:dyDescent="0.3">
      <c r="A31" t="s">
        <v>218</v>
      </c>
      <c r="B31" s="1">
        <v>45766</v>
      </c>
      <c r="C31" t="s">
        <v>112</v>
      </c>
      <c r="D31" t="s">
        <v>32</v>
      </c>
      <c r="E31" t="s">
        <v>54</v>
      </c>
      <c r="F31" t="s">
        <v>54</v>
      </c>
      <c r="G31" t="s">
        <v>54</v>
      </c>
      <c r="H31" t="s">
        <v>52</v>
      </c>
      <c r="I31">
        <v>179</v>
      </c>
      <c r="J31">
        <v>180</v>
      </c>
      <c r="K31">
        <v>6</v>
      </c>
      <c r="L31">
        <v>5</v>
      </c>
      <c r="M31">
        <v>20</v>
      </c>
      <c r="N31">
        <v>19.2</v>
      </c>
    </row>
    <row r="32" spans="1:14" x14ac:dyDescent="0.3">
      <c r="A32" t="s">
        <v>219</v>
      </c>
      <c r="B32" s="1">
        <v>45767</v>
      </c>
      <c r="C32" t="s">
        <v>115</v>
      </c>
      <c r="D32" t="s">
        <v>44</v>
      </c>
      <c r="E32" t="s">
        <v>10</v>
      </c>
      <c r="F32" t="s">
        <v>10</v>
      </c>
      <c r="G32" t="s">
        <v>44</v>
      </c>
      <c r="H32" t="s">
        <v>50</v>
      </c>
      <c r="I32">
        <v>195</v>
      </c>
      <c r="J32">
        <v>190</v>
      </c>
      <c r="K32">
        <v>4</v>
      </c>
      <c r="L32">
        <v>8</v>
      </c>
      <c r="M32">
        <v>20</v>
      </c>
      <c r="N32">
        <v>20</v>
      </c>
    </row>
    <row r="33" spans="1:14" x14ac:dyDescent="0.3">
      <c r="A33" t="s">
        <v>220</v>
      </c>
      <c r="B33" s="1">
        <v>45768</v>
      </c>
      <c r="C33" t="s">
        <v>121</v>
      </c>
      <c r="D33" t="s">
        <v>65</v>
      </c>
      <c r="E33" t="s">
        <v>76</v>
      </c>
      <c r="F33" t="s">
        <v>76</v>
      </c>
      <c r="G33" t="s">
        <v>65</v>
      </c>
      <c r="H33" t="s">
        <v>71</v>
      </c>
      <c r="I33">
        <v>170</v>
      </c>
      <c r="J33">
        <v>169</v>
      </c>
      <c r="K33">
        <v>6</v>
      </c>
      <c r="L33">
        <v>7</v>
      </c>
      <c r="M33">
        <v>20</v>
      </c>
      <c r="N33">
        <v>20</v>
      </c>
    </row>
    <row r="34" spans="1:14" x14ac:dyDescent="0.3">
      <c r="A34" t="s">
        <v>221</v>
      </c>
      <c r="B34" s="1">
        <v>45769</v>
      </c>
      <c r="C34" t="s">
        <v>127</v>
      </c>
      <c r="D34" t="s">
        <v>87</v>
      </c>
      <c r="E34" t="s">
        <v>32</v>
      </c>
      <c r="F34" t="s">
        <v>87</v>
      </c>
      <c r="G34" t="s">
        <v>87</v>
      </c>
      <c r="H34" t="s">
        <v>93</v>
      </c>
      <c r="I34">
        <v>182</v>
      </c>
      <c r="J34">
        <v>175</v>
      </c>
      <c r="K34">
        <v>5</v>
      </c>
      <c r="L34">
        <v>9</v>
      </c>
      <c r="M34">
        <v>20</v>
      </c>
      <c r="N34">
        <v>20</v>
      </c>
    </row>
    <row r="35" spans="1:14" x14ac:dyDescent="0.3">
      <c r="A35" t="s">
        <v>222</v>
      </c>
      <c r="B35" s="1">
        <v>45770</v>
      </c>
      <c r="C35" t="s">
        <v>118</v>
      </c>
      <c r="D35" t="s">
        <v>54</v>
      </c>
      <c r="E35" t="s">
        <v>65</v>
      </c>
      <c r="F35" t="s">
        <v>65</v>
      </c>
      <c r="G35" t="s">
        <v>54</v>
      </c>
      <c r="H35" t="s">
        <v>55</v>
      </c>
      <c r="I35">
        <v>185</v>
      </c>
      <c r="J35">
        <v>178</v>
      </c>
      <c r="K35">
        <v>7</v>
      </c>
      <c r="L35">
        <v>9</v>
      </c>
      <c r="M35">
        <v>20</v>
      </c>
      <c r="N35">
        <v>20</v>
      </c>
    </row>
    <row r="36" spans="1:14" x14ac:dyDescent="0.3">
      <c r="A36" t="s">
        <v>223</v>
      </c>
      <c r="B36" s="1">
        <v>45771</v>
      </c>
      <c r="C36" t="s">
        <v>130</v>
      </c>
      <c r="D36" t="s">
        <v>98</v>
      </c>
      <c r="E36" t="s">
        <v>44</v>
      </c>
      <c r="F36" t="s">
        <v>98</v>
      </c>
      <c r="G36" t="s">
        <v>98</v>
      </c>
      <c r="H36" t="s">
        <v>101</v>
      </c>
      <c r="I36">
        <v>197</v>
      </c>
      <c r="J36">
        <v>196</v>
      </c>
      <c r="K36">
        <v>5</v>
      </c>
      <c r="L36">
        <v>8</v>
      </c>
      <c r="M36">
        <v>20</v>
      </c>
      <c r="N36">
        <v>20</v>
      </c>
    </row>
    <row r="37" spans="1:14" x14ac:dyDescent="0.3">
      <c r="A37" t="s">
        <v>224</v>
      </c>
      <c r="B37" s="1">
        <v>45772</v>
      </c>
      <c r="C37" t="s">
        <v>109</v>
      </c>
      <c r="D37" t="s">
        <v>10</v>
      </c>
      <c r="E37" t="s">
        <v>87</v>
      </c>
      <c r="F37" t="s">
        <v>87</v>
      </c>
      <c r="G37" t="s">
        <v>10</v>
      </c>
      <c r="H37" t="s">
        <v>27</v>
      </c>
      <c r="I37">
        <v>176</v>
      </c>
      <c r="J37">
        <v>172</v>
      </c>
      <c r="K37">
        <v>4</v>
      </c>
      <c r="L37">
        <v>8</v>
      </c>
      <c r="M37">
        <v>20</v>
      </c>
      <c r="N37">
        <v>20</v>
      </c>
    </row>
    <row r="38" spans="1:14" x14ac:dyDescent="0.3">
      <c r="A38" t="s">
        <v>225</v>
      </c>
      <c r="B38" s="1">
        <v>45773</v>
      </c>
      <c r="C38" t="s">
        <v>124</v>
      </c>
      <c r="D38" t="s">
        <v>76</v>
      </c>
      <c r="E38" t="s">
        <v>98</v>
      </c>
      <c r="F38" t="s">
        <v>98</v>
      </c>
      <c r="G38" t="s">
        <v>76</v>
      </c>
      <c r="H38" t="s">
        <v>80</v>
      </c>
      <c r="I38">
        <v>153</v>
      </c>
      <c r="J38">
        <v>150</v>
      </c>
      <c r="K38">
        <v>8</v>
      </c>
      <c r="L38">
        <v>10</v>
      </c>
      <c r="M38">
        <v>20</v>
      </c>
      <c r="N38">
        <v>19.3</v>
      </c>
    </row>
    <row r="39" spans="1:14" x14ac:dyDescent="0.3">
      <c r="A39" t="s">
        <v>226</v>
      </c>
      <c r="B39" s="1">
        <v>45774</v>
      </c>
      <c r="C39" t="s">
        <v>112</v>
      </c>
      <c r="D39" t="s">
        <v>32</v>
      </c>
      <c r="E39" t="s">
        <v>65</v>
      </c>
      <c r="F39" t="s">
        <v>65</v>
      </c>
      <c r="G39" t="s">
        <v>32</v>
      </c>
      <c r="H39" t="s">
        <v>33</v>
      </c>
      <c r="I39">
        <v>163</v>
      </c>
      <c r="J39">
        <v>158</v>
      </c>
      <c r="K39">
        <v>7</v>
      </c>
      <c r="L39">
        <v>8</v>
      </c>
      <c r="M39">
        <v>20</v>
      </c>
      <c r="N39">
        <v>20</v>
      </c>
    </row>
    <row r="40" spans="1:14" x14ac:dyDescent="0.3">
      <c r="A40" t="s">
        <v>227</v>
      </c>
      <c r="B40" s="1">
        <v>45775</v>
      </c>
      <c r="C40" t="s">
        <v>115</v>
      </c>
      <c r="D40" t="s">
        <v>44</v>
      </c>
      <c r="E40" t="s">
        <v>54</v>
      </c>
      <c r="F40" t="s">
        <v>54</v>
      </c>
      <c r="G40" t="s">
        <v>44</v>
      </c>
      <c r="H40" t="s">
        <v>42</v>
      </c>
      <c r="I40">
        <v>200</v>
      </c>
      <c r="J40">
        <v>195</v>
      </c>
      <c r="K40">
        <v>5</v>
      </c>
      <c r="L40">
        <v>8</v>
      </c>
      <c r="M40">
        <v>20</v>
      </c>
      <c r="N40">
        <v>20</v>
      </c>
    </row>
    <row r="41" spans="1:14" x14ac:dyDescent="0.3">
      <c r="A41" t="s">
        <v>228</v>
      </c>
      <c r="B41" s="1">
        <v>45776</v>
      </c>
      <c r="C41" t="s">
        <v>127</v>
      </c>
      <c r="D41" t="s">
        <v>87</v>
      </c>
      <c r="E41" t="s">
        <v>76</v>
      </c>
      <c r="F41" t="s">
        <v>87</v>
      </c>
      <c r="G41" t="s">
        <v>76</v>
      </c>
      <c r="H41" t="s">
        <v>83</v>
      </c>
      <c r="I41">
        <v>180</v>
      </c>
      <c r="J41">
        <v>181</v>
      </c>
      <c r="K41">
        <v>7</v>
      </c>
      <c r="L41">
        <v>4</v>
      </c>
      <c r="M41">
        <v>20</v>
      </c>
      <c r="N41">
        <v>19.399999999999999</v>
      </c>
    </row>
    <row r="42" spans="1:14" x14ac:dyDescent="0.3">
      <c r="A42" t="s">
        <v>229</v>
      </c>
      <c r="B42" s="1">
        <v>45777</v>
      </c>
      <c r="C42" t="s">
        <v>130</v>
      </c>
      <c r="D42" t="s">
        <v>98</v>
      </c>
      <c r="E42" t="s">
        <v>10</v>
      </c>
      <c r="F42" t="s">
        <v>10</v>
      </c>
      <c r="G42" t="s">
        <v>98</v>
      </c>
      <c r="H42" t="s">
        <v>96</v>
      </c>
      <c r="I42">
        <v>174</v>
      </c>
      <c r="J42">
        <v>173</v>
      </c>
      <c r="K42">
        <v>6</v>
      </c>
      <c r="L42">
        <v>7</v>
      </c>
      <c r="M42">
        <v>20</v>
      </c>
      <c r="N42">
        <v>20</v>
      </c>
    </row>
    <row r="43" spans="1:14" x14ac:dyDescent="0.3">
      <c r="A43" t="s">
        <v>230</v>
      </c>
      <c r="B43" s="1">
        <v>45778</v>
      </c>
      <c r="C43" t="s">
        <v>121</v>
      </c>
      <c r="D43" t="s">
        <v>65</v>
      </c>
      <c r="E43" t="s">
        <v>32</v>
      </c>
      <c r="F43" t="s">
        <v>32</v>
      </c>
      <c r="G43" t="s">
        <v>65</v>
      </c>
      <c r="H43" t="s">
        <v>63</v>
      </c>
      <c r="I43">
        <v>187</v>
      </c>
      <c r="J43">
        <v>175</v>
      </c>
      <c r="K43">
        <v>4</v>
      </c>
      <c r="L43">
        <v>9</v>
      </c>
      <c r="M43">
        <v>20</v>
      </c>
      <c r="N43">
        <v>20</v>
      </c>
    </row>
    <row r="44" spans="1:14" x14ac:dyDescent="0.3">
      <c r="A44" t="s">
        <v>231</v>
      </c>
      <c r="B44" s="1">
        <v>45779</v>
      </c>
      <c r="C44" t="s">
        <v>109</v>
      </c>
      <c r="D44" t="s">
        <v>10</v>
      </c>
      <c r="E44" t="s">
        <v>44</v>
      </c>
      <c r="F44" t="s">
        <v>44</v>
      </c>
      <c r="G44" t="s">
        <v>44</v>
      </c>
      <c r="H44" t="s">
        <v>45</v>
      </c>
      <c r="I44">
        <v>162</v>
      </c>
      <c r="J44">
        <v>165</v>
      </c>
      <c r="K44">
        <v>9</v>
      </c>
      <c r="L44">
        <v>5</v>
      </c>
      <c r="M44">
        <v>20</v>
      </c>
      <c r="N44">
        <v>19.2</v>
      </c>
    </row>
    <row r="45" spans="1:14" x14ac:dyDescent="0.3">
      <c r="A45" t="s">
        <v>232</v>
      </c>
      <c r="B45" s="1">
        <v>45780</v>
      </c>
      <c r="C45" t="s">
        <v>118</v>
      </c>
      <c r="D45" t="s">
        <v>54</v>
      </c>
      <c r="E45" t="s">
        <v>76</v>
      </c>
      <c r="F45" t="s">
        <v>76</v>
      </c>
      <c r="G45" t="s">
        <v>54</v>
      </c>
      <c r="H45" t="s">
        <v>52</v>
      </c>
      <c r="I45">
        <v>196</v>
      </c>
      <c r="J45">
        <v>188</v>
      </c>
      <c r="K45">
        <v>3</v>
      </c>
      <c r="L45">
        <v>8</v>
      </c>
      <c r="M45">
        <v>20</v>
      </c>
      <c r="N45">
        <v>20</v>
      </c>
    </row>
    <row r="46" spans="1:14" x14ac:dyDescent="0.3">
      <c r="A46" t="s">
        <v>233</v>
      </c>
      <c r="B46" s="1">
        <v>45781</v>
      </c>
      <c r="C46" t="s">
        <v>130</v>
      </c>
      <c r="D46" t="s">
        <v>98</v>
      </c>
      <c r="E46" t="s">
        <v>65</v>
      </c>
      <c r="F46" t="s">
        <v>65</v>
      </c>
      <c r="G46" t="s">
        <v>98</v>
      </c>
      <c r="H46" t="s">
        <v>103</v>
      </c>
      <c r="I46">
        <v>184</v>
      </c>
      <c r="J46">
        <v>183</v>
      </c>
      <c r="K46">
        <v>7</v>
      </c>
      <c r="L46">
        <v>9</v>
      </c>
      <c r="M46">
        <v>20</v>
      </c>
      <c r="N46">
        <v>20</v>
      </c>
    </row>
    <row r="47" spans="1:14" x14ac:dyDescent="0.3">
      <c r="A47" t="s">
        <v>234</v>
      </c>
      <c r="B47" s="1">
        <v>45782</v>
      </c>
      <c r="C47" t="s">
        <v>112</v>
      </c>
      <c r="D47" t="s">
        <v>32</v>
      </c>
      <c r="E47" t="s">
        <v>76</v>
      </c>
      <c r="F47" t="s">
        <v>76</v>
      </c>
      <c r="G47" t="s">
        <v>32</v>
      </c>
      <c r="H47" t="s">
        <v>30</v>
      </c>
      <c r="I47">
        <v>192</v>
      </c>
      <c r="J47">
        <v>174</v>
      </c>
      <c r="K47">
        <v>4</v>
      </c>
      <c r="L47">
        <v>8</v>
      </c>
      <c r="M47">
        <v>20</v>
      </c>
      <c r="N47">
        <v>20</v>
      </c>
    </row>
    <row r="48" spans="1:14" x14ac:dyDescent="0.3">
      <c r="A48" t="s">
        <v>235</v>
      </c>
      <c r="B48" s="1">
        <v>45783</v>
      </c>
      <c r="C48" t="s">
        <v>127</v>
      </c>
      <c r="D48" t="s">
        <v>87</v>
      </c>
      <c r="E48" t="s">
        <v>54</v>
      </c>
      <c r="F48" t="s">
        <v>87</v>
      </c>
      <c r="G48" t="s">
        <v>54</v>
      </c>
      <c r="H48" t="s">
        <v>55</v>
      </c>
      <c r="I48">
        <v>208</v>
      </c>
      <c r="J48">
        <v>198</v>
      </c>
      <c r="K48">
        <v>6</v>
      </c>
      <c r="L48">
        <v>7</v>
      </c>
      <c r="M48">
        <v>20</v>
      </c>
      <c r="N48">
        <v>20</v>
      </c>
    </row>
    <row r="49" spans="1:14" x14ac:dyDescent="0.3">
      <c r="A49" t="s">
        <v>236</v>
      </c>
      <c r="B49" s="1">
        <v>45784</v>
      </c>
      <c r="C49" t="s">
        <v>115</v>
      </c>
      <c r="D49" t="s">
        <v>44</v>
      </c>
      <c r="E49" t="s">
        <v>10</v>
      </c>
      <c r="F49" t="s">
        <v>10</v>
      </c>
      <c r="G49" t="s">
        <v>76</v>
      </c>
      <c r="H49" t="s">
        <v>74</v>
      </c>
      <c r="I49">
        <v>193</v>
      </c>
      <c r="J49">
        <v>165</v>
      </c>
      <c r="K49">
        <v>5</v>
      </c>
      <c r="L49">
        <v>10</v>
      </c>
      <c r="M49">
        <v>20</v>
      </c>
      <c r="N49">
        <v>17.2</v>
      </c>
    </row>
    <row r="50" spans="1:14" x14ac:dyDescent="0.3">
      <c r="A50" t="s">
        <v>237</v>
      </c>
      <c r="B50" s="1">
        <v>45785</v>
      </c>
      <c r="C50" t="s">
        <v>121</v>
      </c>
      <c r="D50" t="s">
        <v>65</v>
      </c>
      <c r="E50" t="s">
        <v>44</v>
      </c>
      <c r="F50" t="s">
        <v>44</v>
      </c>
      <c r="G50" t="s">
        <v>76</v>
      </c>
      <c r="H50" t="s">
        <v>83</v>
      </c>
      <c r="I50">
        <v>181</v>
      </c>
      <c r="J50">
        <v>185</v>
      </c>
      <c r="K50">
        <v>5</v>
      </c>
      <c r="L50">
        <v>4</v>
      </c>
      <c r="M50">
        <v>20</v>
      </c>
      <c r="N50">
        <v>19.3</v>
      </c>
    </row>
    <row r="51" spans="1:14" x14ac:dyDescent="0.3">
      <c r="A51" t="s">
        <v>238</v>
      </c>
      <c r="B51" s="1">
        <v>45786</v>
      </c>
      <c r="C51" t="s">
        <v>124</v>
      </c>
      <c r="D51" t="s">
        <v>76</v>
      </c>
      <c r="E51" t="s">
        <v>32</v>
      </c>
      <c r="F51" t="s">
        <v>65</v>
      </c>
      <c r="G51" t="s">
        <v>54</v>
      </c>
      <c r="H51" t="s">
        <v>58</v>
      </c>
      <c r="I51">
        <v>164</v>
      </c>
      <c r="J51">
        <v>165</v>
      </c>
      <c r="K51">
        <v>8</v>
      </c>
      <c r="L51">
        <v>3</v>
      </c>
      <c r="M51">
        <v>20</v>
      </c>
      <c r="N51">
        <v>18.399999999999999</v>
      </c>
    </row>
    <row r="52" spans="1:14" x14ac:dyDescent="0.3">
      <c r="A52" t="s">
        <v>239</v>
      </c>
      <c r="B52" s="1">
        <v>45787</v>
      </c>
      <c r="C52" t="s">
        <v>109</v>
      </c>
      <c r="D52" t="s">
        <v>10</v>
      </c>
      <c r="E52" t="s">
        <v>32</v>
      </c>
      <c r="F52" t="s">
        <v>87</v>
      </c>
      <c r="G52" t="s">
        <v>32</v>
      </c>
      <c r="H52" t="s">
        <v>33</v>
      </c>
      <c r="I52">
        <v>178</v>
      </c>
      <c r="J52">
        <v>169</v>
      </c>
      <c r="K52">
        <v>6</v>
      </c>
      <c r="L52">
        <v>9</v>
      </c>
      <c r="M52">
        <v>20</v>
      </c>
      <c r="N52">
        <v>20</v>
      </c>
    </row>
    <row r="53" spans="1:14" x14ac:dyDescent="0.3">
      <c r="A53" t="s">
        <v>240</v>
      </c>
      <c r="B53" s="1">
        <v>45788</v>
      </c>
      <c r="C53" t="s">
        <v>118</v>
      </c>
      <c r="D53" t="s">
        <v>54</v>
      </c>
      <c r="E53" t="s">
        <v>98</v>
      </c>
      <c r="F53" t="s">
        <v>10</v>
      </c>
      <c r="G53" t="s">
        <v>98</v>
      </c>
      <c r="H53" t="s">
        <v>101</v>
      </c>
      <c r="I53">
        <v>154</v>
      </c>
      <c r="J53">
        <v>155</v>
      </c>
      <c r="K53">
        <v>10</v>
      </c>
      <c r="L53">
        <v>3</v>
      </c>
      <c r="M53">
        <v>19.5</v>
      </c>
      <c r="N53">
        <v>17</v>
      </c>
    </row>
    <row r="54" spans="1:14" x14ac:dyDescent="0.3">
      <c r="A54" t="s">
        <v>241</v>
      </c>
      <c r="B54" s="1">
        <v>45789</v>
      </c>
      <c r="C54" t="s">
        <v>130</v>
      </c>
      <c r="D54" t="s">
        <v>98</v>
      </c>
      <c r="E54" t="s">
        <v>44</v>
      </c>
      <c r="F54" t="s">
        <v>44</v>
      </c>
      <c r="G54" t="s">
        <v>54</v>
      </c>
      <c r="H54" t="s">
        <v>60</v>
      </c>
      <c r="I54">
        <v>171</v>
      </c>
      <c r="J54">
        <v>156</v>
      </c>
      <c r="K54">
        <v>5</v>
      </c>
      <c r="L54">
        <v>9</v>
      </c>
      <c r="M54">
        <v>20</v>
      </c>
      <c r="N54">
        <v>18.3</v>
      </c>
    </row>
    <row r="55" spans="1:14" x14ac:dyDescent="0.3">
      <c r="A55" t="s">
        <v>242</v>
      </c>
      <c r="B55" s="1">
        <v>45790</v>
      </c>
      <c r="C55" t="s">
        <v>127</v>
      </c>
      <c r="D55" t="s">
        <v>87</v>
      </c>
      <c r="E55" t="s">
        <v>65</v>
      </c>
      <c r="F55" t="s">
        <v>65</v>
      </c>
      <c r="G55" t="s">
        <v>65</v>
      </c>
      <c r="H55" t="s">
        <v>66</v>
      </c>
      <c r="I55">
        <v>149</v>
      </c>
      <c r="J55">
        <v>150</v>
      </c>
      <c r="K55">
        <v>9</v>
      </c>
      <c r="L55">
        <v>4</v>
      </c>
      <c r="M55">
        <v>20</v>
      </c>
      <c r="N55">
        <v>18.100000000000001</v>
      </c>
    </row>
    <row r="56" spans="1:14" x14ac:dyDescent="0.3">
      <c r="A56" t="s">
        <v>243</v>
      </c>
      <c r="B56" s="1">
        <v>45791</v>
      </c>
      <c r="C56" t="s">
        <v>115</v>
      </c>
      <c r="D56" t="s">
        <v>44</v>
      </c>
      <c r="E56" t="s">
        <v>76</v>
      </c>
      <c r="F56" t="s">
        <v>10</v>
      </c>
      <c r="G56" t="s">
        <v>87</v>
      </c>
      <c r="H56" t="s">
        <v>85</v>
      </c>
      <c r="I56">
        <v>177</v>
      </c>
      <c r="J56">
        <v>152</v>
      </c>
      <c r="K56">
        <v>7</v>
      </c>
      <c r="L56">
        <v>8</v>
      </c>
      <c r="M56">
        <v>20</v>
      </c>
      <c r="N56">
        <v>18.399999999999999</v>
      </c>
    </row>
    <row r="57" spans="1:14" x14ac:dyDescent="0.3">
      <c r="A57" t="s">
        <v>244</v>
      </c>
      <c r="B57" s="1">
        <v>45792</v>
      </c>
      <c r="C57" t="s">
        <v>109</v>
      </c>
      <c r="D57" t="s">
        <v>10</v>
      </c>
      <c r="E57" t="s">
        <v>54</v>
      </c>
      <c r="F57" t="s">
        <v>32</v>
      </c>
      <c r="G57" t="s">
        <v>32</v>
      </c>
      <c r="H57" t="s">
        <v>36</v>
      </c>
      <c r="I57">
        <v>161</v>
      </c>
      <c r="J57">
        <v>162</v>
      </c>
      <c r="K57">
        <v>8</v>
      </c>
      <c r="L57">
        <v>6</v>
      </c>
      <c r="M57">
        <v>20</v>
      </c>
      <c r="N57">
        <v>19.2</v>
      </c>
    </row>
    <row r="58" spans="1:14" x14ac:dyDescent="0.3">
      <c r="A58" t="s">
        <v>245</v>
      </c>
      <c r="B58" s="1">
        <v>45793</v>
      </c>
      <c r="C58" t="s">
        <v>112</v>
      </c>
      <c r="D58" t="s">
        <v>32</v>
      </c>
      <c r="E58" t="s">
        <v>98</v>
      </c>
      <c r="F58" t="s">
        <v>65</v>
      </c>
      <c r="G58" t="s">
        <v>44</v>
      </c>
      <c r="H58" t="s">
        <v>42</v>
      </c>
      <c r="I58">
        <v>198</v>
      </c>
      <c r="J58">
        <v>187</v>
      </c>
      <c r="K58">
        <v>3</v>
      </c>
      <c r="L58">
        <v>8</v>
      </c>
      <c r="M58">
        <v>20</v>
      </c>
      <c r="N58">
        <v>20</v>
      </c>
    </row>
    <row r="59" spans="1:14" x14ac:dyDescent="0.3">
      <c r="A59" t="s">
        <v>246</v>
      </c>
      <c r="B59" s="1">
        <v>45794</v>
      </c>
      <c r="C59" t="s">
        <v>121</v>
      </c>
      <c r="D59" t="s">
        <v>65</v>
      </c>
      <c r="E59" t="s">
        <v>76</v>
      </c>
      <c r="F59" t="s">
        <v>76</v>
      </c>
      <c r="G59" t="s">
        <v>10</v>
      </c>
      <c r="H59" t="s">
        <v>8</v>
      </c>
      <c r="I59">
        <v>188</v>
      </c>
      <c r="J59">
        <v>186</v>
      </c>
      <c r="K59">
        <v>6</v>
      </c>
      <c r="L59">
        <v>8</v>
      </c>
      <c r="M59">
        <v>20</v>
      </c>
      <c r="N59">
        <v>20</v>
      </c>
    </row>
    <row r="60" spans="1:14" x14ac:dyDescent="0.3">
      <c r="A60" t="s">
        <v>247</v>
      </c>
      <c r="B60" s="1">
        <v>45795</v>
      </c>
      <c r="C60" t="s">
        <v>118</v>
      </c>
      <c r="D60" t="s">
        <v>54</v>
      </c>
      <c r="E60" t="s">
        <v>87</v>
      </c>
      <c r="F60" t="s">
        <v>98</v>
      </c>
      <c r="G60" t="s">
        <v>98</v>
      </c>
      <c r="H60" t="s">
        <v>96</v>
      </c>
      <c r="I60">
        <v>169</v>
      </c>
      <c r="J60">
        <v>170</v>
      </c>
      <c r="K60">
        <v>8</v>
      </c>
      <c r="L60">
        <v>4</v>
      </c>
      <c r="M60">
        <v>20</v>
      </c>
      <c r="N60">
        <v>19.100000000000001</v>
      </c>
    </row>
    <row r="61" spans="1:14" x14ac:dyDescent="0.3">
      <c r="A61" t="s">
        <v>248</v>
      </c>
      <c r="B61" s="1">
        <v>45796</v>
      </c>
      <c r="C61" t="s">
        <v>124</v>
      </c>
      <c r="D61" t="s">
        <v>76</v>
      </c>
      <c r="E61" t="s">
        <v>10</v>
      </c>
      <c r="F61" t="s">
        <v>65</v>
      </c>
      <c r="G61" t="s">
        <v>87</v>
      </c>
      <c r="H61" t="s">
        <v>88</v>
      </c>
      <c r="I61">
        <v>155</v>
      </c>
      <c r="J61">
        <v>156</v>
      </c>
      <c r="K61">
        <v>10</v>
      </c>
      <c r="L61">
        <v>6</v>
      </c>
      <c r="M61">
        <v>20</v>
      </c>
      <c r="N61">
        <v>19.399999999999999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7C777-831C-4D72-B4DE-26949A2369BA}">
  <sheetPr codeName="Sheet5"/>
  <dimension ref="A1:D11"/>
  <sheetViews>
    <sheetView workbookViewId="0">
      <selection activeCell="B9" sqref="A2:D11"/>
    </sheetView>
  </sheetViews>
  <sheetFormatPr defaultRowHeight="14.4" x14ac:dyDescent="0.3"/>
  <cols>
    <col min="1" max="1" width="10.88671875" bestFit="1" customWidth="1"/>
    <col min="2" max="2" width="50.21875" bestFit="1" customWidth="1"/>
    <col min="3" max="4" width="10.6640625" bestFit="1" customWidth="1"/>
  </cols>
  <sheetData>
    <row r="1" spans="1:4" x14ac:dyDescent="0.3">
      <c r="A1" t="s">
        <v>105</v>
      </c>
      <c r="B1" t="s">
        <v>106</v>
      </c>
      <c r="C1" t="s">
        <v>107</v>
      </c>
      <c r="D1" t="s">
        <v>108</v>
      </c>
    </row>
    <row r="2" spans="1:4" x14ac:dyDescent="0.3">
      <c r="A2" t="s">
        <v>109</v>
      </c>
      <c r="B2" t="s">
        <v>110</v>
      </c>
      <c r="C2" t="s">
        <v>111</v>
      </c>
      <c r="D2">
        <v>33108</v>
      </c>
    </row>
    <row r="3" spans="1:4" x14ac:dyDescent="0.3">
      <c r="A3" t="s">
        <v>112</v>
      </c>
      <c r="B3" t="s">
        <v>113</v>
      </c>
      <c r="C3" t="s">
        <v>114</v>
      </c>
      <c r="D3">
        <v>38000</v>
      </c>
    </row>
    <row r="4" spans="1:4" x14ac:dyDescent="0.3">
      <c r="A4" t="s">
        <v>115</v>
      </c>
      <c r="B4" t="s">
        <v>116</v>
      </c>
      <c r="C4" t="s">
        <v>117</v>
      </c>
      <c r="D4">
        <v>42000</v>
      </c>
    </row>
    <row r="5" spans="1:4" x14ac:dyDescent="0.3">
      <c r="A5" t="s">
        <v>118</v>
      </c>
      <c r="B5" t="s">
        <v>119</v>
      </c>
      <c r="C5" t="s">
        <v>120</v>
      </c>
      <c r="D5">
        <v>68000</v>
      </c>
    </row>
    <row r="6" spans="1:4" x14ac:dyDescent="0.3">
      <c r="A6" t="s">
        <v>121</v>
      </c>
      <c r="B6" t="s">
        <v>122</v>
      </c>
      <c r="C6" t="s">
        <v>123</v>
      </c>
      <c r="D6">
        <v>41820</v>
      </c>
    </row>
    <row r="7" spans="1:4" x14ac:dyDescent="0.3">
      <c r="A7" t="s">
        <v>124</v>
      </c>
      <c r="B7" t="s">
        <v>125</v>
      </c>
      <c r="C7" t="s">
        <v>126</v>
      </c>
      <c r="D7">
        <v>30000</v>
      </c>
    </row>
    <row r="8" spans="1:4" x14ac:dyDescent="0.3">
      <c r="A8" t="s">
        <v>127</v>
      </c>
      <c r="B8" t="s">
        <v>128</v>
      </c>
      <c r="C8" t="s">
        <v>129</v>
      </c>
      <c r="D8">
        <v>38000</v>
      </c>
    </row>
    <row r="9" spans="1:4" x14ac:dyDescent="0.3">
      <c r="A9" t="s">
        <v>130</v>
      </c>
      <c r="B9" t="s">
        <v>131</v>
      </c>
      <c r="C9" t="s">
        <v>132</v>
      </c>
      <c r="D9">
        <v>39200</v>
      </c>
    </row>
    <row r="10" spans="1:4" x14ac:dyDescent="0.3">
      <c r="A10" t="s">
        <v>133</v>
      </c>
      <c r="B10" t="s">
        <v>134</v>
      </c>
      <c r="C10" t="s">
        <v>135</v>
      </c>
      <c r="D10">
        <v>132000</v>
      </c>
    </row>
    <row r="11" spans="1:4" x14ac:dyDescent="0.3">
      <c r="A11" t="s">
        <v>136</v>
      </c>
      <c r="B11" t="s">
        <v>137</v>
      </c>
      <c r="C11" t="s">
        <v>138</v>
      </c>
      <c r="D11">
        <v>50000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B55E98-B704-498C-B6C2-1837F4DBE805}">
  <sheetPr codeName="Sheet6"/>
  <dimension ref="A1:G9"/>
  <sheetViews>
    <sheetView workbookViewId="0">
      <selection activeCell="D6" sqref="A2:G9"/>
    </sheetView>
  </sheetViews>
  <sheetFormatPr defaultRowHeight="14.4" x14ac:dyDescent="0.3"/>
  <cols>
    <col min="1" max="1" width="10.33203125" bestFit="1" customWidth="1"/>
    <col min="2" max="2" width="29" bestFit="1" customWidth="1"/>
    <col min="3" max="3" width="14.21875" bestFit="1" customWidth="1"/>
    <col min="4" max="4" width="16.88671875" bestFit="1" customWidth="1"/>
    <col min="5" max="5" width="39.109375" bestFit="1" customWidth="1"/>
    <col min="6" max="6" width="9.77734375" bestFit="1" customWidth="1"/>
    <col min="7" max="7" width="16.33203125" bestFit="1" customWidth="1"/>
  </cols>
  <sheetData>
    <row r="1" spans="1:7" x14ac:dyDescent="0.3">
      <c r="A1" t="s">
        <v>2</v>
      </c>
      <c r="B1" t="s">
        <v>139</v>
      </c>
      <c r="C1" t="s">
        <v>140</v>
      </c>
      <c r="D1" t="s">
        <v>141</v>
      </c>
      <c r="E1" t="s">
        <v>142</v>
      </c>
      <c r="F1" t="s">
        <v>107</v>
      </c>
      <c r="G1" t="s">
        <v>143</v>
      </c>
    </row>
    <row r="2" spans="1:7" x14ac:dyDescent="0.3">
      <c r="A2" t="s">
        <v>10</v>
      </c>
      <c r="B2" t="s">
        <v>144</v>
      </c>
      <c r="C2" t="s">
        <v>145</v>
      </c>
      <c r="D2" t="s">
        <v>146</v>
      </c>
      <c r="E2" t="s">
        <v>110</v>
      </c>
      <c r="F2" t="s">
        <v>111</v>
      </c>
      <c r="G2" t="s">
        <v>147</v>
      </c>
    </row>
    <row r="3" spans="1:7" x14ac:dyDescent="0.3">
      <c r="A3" t="s">
        <v>32</v>
      </c>
      <c r="B3" t="s">
        <v>148</v>
      </c>
      <c r="C3" t="s">
        <v>149</v>
      </c>
      <c r="D3" t="s">
        <v>150</v>
      </c>
      <c r="E3" t="s">
        <v>113</v>
      </c>
      <c r="F3" t="s">
        <v>114</v>
      </c>
      <c r="G3" t="s">
        <v>151</v>
      </c>
    </row>
    <row r="4" spans="1:7" x14ac:dyDescent="0.3">
      <c r="A4" t="s">
        <v>44</v>
      </c>
      <c r="B4" t="s">
        <v>152</v>
      </c>
      <c r="C4" t="s">
        <v>153</v>
      </c>
      <c r="D4" t="s">
        <v>154</v>
      </c>
      <c r="E4" t="s">
        <v>116</v>
      </c>
      <c r="F4" t="s">
        <v>117</v>
      </c>
      <c r="G4" t="s">
        <v>155</v>
      </c>
    </row>
    <row r="5" spans="1:7" x14ac:dyDescent="0.3">
      <c r="A5" t="s">
        <v>54</v>
      </c>
      <c r="B5" t="s">
        <v>156</v>
      </c>
      <c r="C5" t="s">
        <v>157</v>
      </c>
      <c r="D5" t="s">
        <v>158</v>
      </c>
      <c r="E5" t="s">
        <v>119</v>
      </c>
      <c r="F5" t="s">
        <v>120</v>
      </c>
      <c r="G5" t="s">
        <v>159</v>
      </c>
    </row>
    <row r="6" spans="1:7" x14ac:dyDescent="0.3">
      <c r="A6" t="s">
        <v>65</v>
      </c>
      <c r="B6" t="s">
        <v>160</v>
      </c>
      <c r="C6" t="s">
        <v>161</v>
      </c>
      <c r="D6" t="s">
        <v>162</v>
      </c>
      <c r="E6" t="s">
        <v>122</v>
      </c>
      <c r="F6" t="s">
        <v>123</v>
      </c>
      <c r="G6" t="s">
        <v>163</v>
      </c>
    </row>
    <row r="7" spans="1:7" x14ac:dyDescent="0.3">
      <c r="A7" t="s">
        <v>76</v>
      </c>
      <c r="B7" t="s">
        <v>164</v>
      </c>
      <c r="C7" t="s">
        <v>165</v>
      </c>
      <c r="D7" t="s">
        <v>166</v>
      </c>
      <c r="E7" t="s">
        <v>125</v>
      </c>
      <c r="F7" t="s">
        <v>126</v>
      </c>
      <c r="G7" t="s">
        <v>167</v>
      </c>
    </row>
    <row r="8" spans="1:7" x14ac:dyDescent="0.3">
      <c r="A8" t="s">
        <v>87</v>
      </c>
      <c r="B8" t="s">
        <v>168</v>
      </c>
      <c r="C8" t="s">
        <v>169</v>
      </c>
      <c r="D8" t="s">
        <v>170</v>
      </c>
      <c r="E8" t="s">
        <v>128</v>
      </c>
      <c r="F8" t="s">
        <v>129</v>
      </c>
      <c r="G8" t="s">
        <v>171</v>
      </c>
    </row>
    <row r="9" spans="1:7" x14ac:dyDescent="0.3">
      <c r="A9" t="s">
        <v>98</v>
      </c>
      <c r="B9" t="s">
        <v>172</v>
      </c>
      <c r="C9" t="s">
        <v>173</v>
      </c>
      <c r="D9" t="s">
        <v>174</v>
      </c>
      <c r="E9" t="s">
        <v>131</v>
      </c>
      <c r="F9" t="s">
        <v>132</v>
      </c>
      <c r="G9" t="s">
        <v>175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F692C-DC7B-4482-A31A-B60B6A3C7D06}">
  <sheetPr codeName="Sheet7"/>
  <dimension ref="A1:H34"/>
  <sheetViews>
    <sheetView workbookViewId="0">
      <selection activeCell="M5" sqref="M5"/>
    </sheetView>
  </sheetViews>
  <sheetFormatPr defaultRowHeight="14.4" x14ac:dyDescent="0.3"/>
  <cols>
    <col min="1" max="1" width="11" bestFit="1" customWidth="1"/>
    <col min="2" max="2" width="18.21875" bestFit="1" customWidth="1"/>
    <col min="3" max="3" width="10.33203125" bestFit="1" customWidth="1"/>
    <col min="4" max="4" width="12.109375" bestFit="1" customWidth="1"/>
    <col min="5" max="5" width="13.109375" bestFit="1" customWidth="1"/>
    <col min="6" max="6" width="6.21875" bestFit="1" customWidth="1"/>
    <col min="7" max="7" width="14.109375" bestFit="1" customWidth="1"/>
    <col min="8" max="8" width="20" bestFit="1" customWidth="1"/>
  </cols>
  <sheetData>
    <row r="1" spans="1:8" x14ac:dyDescent="0.3">
      <c r="A1" t="s">
        <v>0</v>
      </c>
      <c r="B1" t="s">
        <v>1</v>
      </c>
      <c r="C1" t="s">
        <v>2</v>
      </c>
      <c r="D1" t="s">
        <v>3</v>
      </c>
      <c r="E1" t="s">
        <v>4</v>
      </c>
      <c r="F1" t="s">
        <v>5</v>
      </c>
      <c r="G1" t="s">
        <v>6</v>
      </c>
      <c r="H1" t="s">
        <v>7</v>
      </c>
    </row>
    <row r="2" spans="1:8" x14ac:dyDescent="0.3">
      <c r="A2" t="s">
        <v>8</v>
      </c>
      <c r="B2" t="s">
        <v>9</v>
      </c>
      <c r="C2" t="s">
        <v>10</v>
      </c>
      <c r="D2" t="s">
        <v>11</v>
      </c>
      <c r="E2" t="s">
        <v>12</v>
      </c>
      <c r="F2">
        <v>33</v>
      </c>
      <c r="G2" t="s">
        <v>13</v>
      </c>
      <c r="H2" t="s">
        <v>14</v>
      </c>
    </row>
    <row r="3" spans="1:8" x14ac:dyDescent="0.3">
      <c r="A3" t="s">
        <v>15</v>
      </c>
      <c r="B3" t="s">
        <v>16</v>
      </c>
      <c r="C3" t="s">
        <v>10</v>
      </c>
      <c r="D3" t="s">
        <v>17</v>
      </c>
      <c r="E3" t="s">
        <v>12</v>
      </c>
      <c r="F3">
        <v>31</v>
      </c>
      <c r="G3" t="s">
        <v>13</v>
      </c>
      <c r="H3" t="s">
        <v>18</v>
      </c>
    </row>
    <row r="4" spans="1:8" x14ac:dyDescent="0.3">
      <c r="A4" t="s">
        <v>19</v>
      </c>
      <c r="B4" t="s">
        <v>20</v>
      </c>
      <c r="C4" t="s">
        <v>10</v>
      </c>
      <c r="D4" t="s">
        <v>21</v>
      </c>
      <c r="E4" t="s">
        <v>12</v>
      </c>
      <c r="F4">
        <v>26</v>
      </c>
      <c r="G4" t="s">
        <v>22</v>
      </c>
      <c r="H4" t="s">
        <v>23</v>
      </c>
    </row>
    <row r="5" spans="1:8" x14ac:dyDescent="0.3">
      <c r="A5" t="s">
        <v>24</v>
      </c>
      <c r="B5" t="s">
        <v>25</v>
      </c>
      <c r="C5" t="s">
        <v>10</v>
      </c>
      <c r="D5" t="s">
        <v>26</v>
      </c>
      <c r="E5" t="s">
        <v>12</v>
      </c>
      <c r="F5">
        <v>22</v>
      </c>
      <c r="G5" t="s">
        <v>22</v>
      </c>
      <c r="H5" t="s">
        <v>14</v>
      </c>
    </row>
    <row r="6" spans="1:8" x14ac:dyDescent="0.3">
      <c r="A6" t="s">
        <v>27</v>
      </c>
      <c r="B6" t="s">
        <v>28</v>
      </c>
      <c r="C6" t="s">
        <v>10</v>
      </c>
      <c r="D6" t="s">
        <v>26</v>
      </c>
      <c r="E6" t="s">
        <v>12</v>
      </c>
      <c r="F6">
        <v>31</v>
      </c>
      <c r="G6" t="s">
        <v>13</v>
      </c>
      <c r="H6" t="s">
        <v>29</v>
      </c>
    </row>
    <row r="7" spans="1:8" x14ac:dyDescent="0.3">
      <c r="A7" t="s">
        <v>30</v>
      </c>
      <c r="B7" t="s">
        <v>31</v>
      </c>
      <c r="C7" t="s">
        <v>32</v>
      </c>
      <c r="D7" t="s">
        <v>26</v>
      </c>
      <c r="E7" t="s">
        <v>12</v>
      </c>
      <c r="F7">
        <v>31</v>
      </c>
      <c r="G7" t="s">
        <v>22</v>
      </c>
      <c r="H7" t="s">
        <v>29</v>
      </c>
    </row>
    <row r="8" spans="1:8" x14ac:dyDescent="0.3">
      <c r="A8" t="s">
        <v>33</v>
      </c>
      <c r="B8" t="s">
        <v>34</v>
      </c>
      <c r="C8" t="s">
        <v>32</v>
      </c>
      <c r="D8" t="s">
        <v>17</v>
      </c>
      <c r="E8" t="s">
        <v>12</v>
      </c>
      <c r="F8">
        <v>32</v>
      </c>
      <c r="G8" t="s">
        <v>13</v>
      </c>
      <c r="H8" t="s">
        <v>35</v>
      </c>
    </row>
    <row r="9" spans="1:8" x14ac:dyDescent="0.3">
      <c r="A9" t="s">
        <v>36</v>
      </c>
      <c r="B9" t="s">
        <v>37</v>
      </c>
      <c r="C9" t="s">
        <v>32</v>
      </c>
      <c r="D9" t="s">
        <v>26</v>
      </c>
      <c r="E9" t="s">
        <v>38</v>
      </c>
      <c r="F9">
        <v>33</v>
      </c>
      <c r="G9" t="s">
        <v>13</v>
      </c>
      <c r="H9" t="s">
        <v>29</v>
      </c>
    </row>
    <row r="10" spans="1:8" x14ac:dyDescent="0.3">
      <c r="A10" t="s">
        <v>39</v>
      </c>
      <c r="B10" t="s">
        <v>40</v>
      </c>
      <c r="C10" t="s">
        <v>32</v>
      </c>
      <c r="D10" t="s">
        <v>17</v>
      </c>
      <c r="E10" t="s">
        <v>41</v>
      </c>
      <c r="F10">
        <v>22</v>
      </c>
      <c r="G10" t="s">
        <v>13</v>
      </c>
      <c r="H10" t="s">
        <v>18</v>
      </c>
    </row>
    <row r="11" spans="1:8" x14ac:dyDescent="0.3">
      <c r="A11" t="s">
        <v>42</v>
      </c>
      <c r="B11" t="s">
        <v>43</v>
      </c>
      <c r="C11" t="s">
        <v>44</v>
      </c>
      <c r="D11" t="s">
        <v>11</v>
      </c>
      <c r="E11" t="s">
        <v>12</v>
      </c>
      <c r="F11">
        <v>36</v>
      </c>
      <c r="G11" t="s">
        <v>13</v>
      </c>
      <c r="H11" t="s">
        <v>29</v>
      </c>
    </row>
    <row r="12" spans="1:8" x14ac:dyDescent="0.3">
      <c r="A12" t="s">
        <v>45</v>
      </c>
      <c r="B12" t="s">
        <v>46</v>
      </c>
      <c r="C12" t="s">
        <v>44</v>
      </c>
      <c r="D12" t="s">
        <v>17</v>
      </c>
      <c r="E12" t="s">
        <v>12</v>
      </c>
      <c r="F12">
        <v>31</v>
      </c>
      <c r="G12" t="s">
        <v>13</v>
      </c>
      <c r="H12" t="s">
        <v>18</v>
      </c>
    </row>
    <row r="13" spans="1:8" x14ac:dyDescent="0.3">
      <c r="A13" t="s">
        <v>47</v>
      </c>
      <c r="B13" t="s">
        <v>48</v>
      </c>
      <c r="C13" t="s">
        <v>44</v>
      </c>
      <c r="D13" t="s">
        <v>26</v>
      </c>
      <c r="E13" t="s">
        <v>49</v>
      </c>
      <c r="F13">
        <v>36</v>
      </c>
      <c r="G13" t="s">
        <v>13</v>
      </c>
      <c r="H13" t="s">
        <v>14</v>
      </c>
    </row>
    <row r="14" spans="1:8" x14ac:dyDescent="0.3">
      <c r="A14" t="s">
        <v>50</v>
      </c>
      <c r="B14" t="s">
        <v>51</v>
      </c>
      <c r="C14" t="s">
        <v>44</v>
      </c>
      <c r="D14" t="s">
        <v>21</v>
      </c>
      <c r="E14" t="s">
        <v>12</v>
      </c>
      <c r="F14">
        <v>39</v>
      </c>
      <c r="G14" t="s">
        <v>13</v>
      </c>
      <c r="H14" t="s">
        <v>23</v>
      </c>
    </row>
    <row r="15" spans="1:8" x14ac:dyDescent="0.3">
      <c r="A15" t="s">
        <v>52</v>
      </c>
      <c r="B15" t="s">
        <v>53</v>
      </c>
      <c r="C15" t="s">
        <v>54</v>
      </c>
      <c r="D15" t="s">
        <v>11</v>
      </c>
      <c r="E15" t="s">
        <v>12</v>
      </c>
      <c r="F15">
        <v>27</v>
      </c>
      <c r="G15" t="s">
        <v>22</v>
      </c>
      <c r="H15" t="s">
        <v>14</v>
      </c>
    </row>
    <row r="16" spans="1:8" x14ac:dyDescent="0.3">
      <c r="A16" t="s">
        <v>55</v>
      </c>
      <c r="B16" t="s">
        <v>56</v>
      </c>
      <c r="C16" t="s">
        <v>54</v>
      </c>
      <c r="D16" t="s">
        <v>26</v>
      </c>
      <c r="E16" t="s">
        <v>57</v>
      </c>
      <c r="F16">
        <v>36</v>
      </c>
      <c r="G16" t="s">
        <v>13</v>
      </c>
      <c r="H16" t="s">
        <v>18</v>
      </c>
    </row>
    <row r="17" spans="1:8" x14ac:dyDescent="0.3">
      <c r="A17" t="s">
        <v>58</v>
      </c>
      <c r="B17" t="s">
        <v>59</v>
      </c>
      <c r="C17" t="s">
        <v>54</v>
      </c>
      <c r="D17" t="s">
        <v>26</v>
      </c>
      <c r="E17" t="s">
        <v>57</v>
      </c>
      <c r="F17">
        <v>36</v>
      </c>
      <c r="G17" t="s">
        <v>22</v>
      </c>
      <c r="H17" t="s">
        <v>14</v>
      </c>
    </row>
    <row r="18" spans="1:8" x14ac:dyDescent="0.3">
      <c r="A18" t="s">
        <v>60</v>
      </c>
      <c r="B18" t="s">
        <v>61</v>
      </c>
      <c r="C18" t="s">
        <v>54</v>
      </c>
      <c r="D18" t="s">
        <v>17</v>
      </c>
      <c r="E18" t="s">
        <v>12</v>
      </c>
      <c r="F18">
        <v>33</v>
      </c>
      <c r="G18" t="s">
        <v>13</v>
      </c>
      <c r="H18" t="s">
        <v>62</v>
      </c>
    </row>
    <row r="19" spans="1:8" x14ac:dyDescent="0.3">
      <c r="A19" t="s">
        <v>63</v>
      </c>
      <c r="B19" t="s">
        <v>64</v>
      </c>
      <c r="C19" t="s">
        <v>65</v>
      </c>
      <c r="D19" t="s">
        <v>11</v>
      </c>
      <c r="E19" t="s">
        <v>49</v>
      </c>
      <c r="F19">
        <v>38</v>
      </c>
      <c r="G19" t="s">
        <v>22</v>
      </c>
      <c r="H19" t="s">
        <v>62</v>
      </c>
    </row>
    <row r="20" spans="1:8" x14ac:dyDescent="0.3">
      <c r="A20" t="s">
        <v>66</v>
      </c>
      <c r="B20" t="s">
        <v>67</v>
      </c>
      <c r="C20" t="s">
        <v>65</v>
      </c>
      <c r="D20" t="s">
        <v>17</v>
      </c>
      <c r="E20" t="s">
        <v>12</v>
      </c>
      <c r="F20">
        <v>30</v>
      </c>
      <c r="G20" t="s">
        <v>22</v>
      </c>
      <c r="H20" t="s">
        <v>68</v>
      </c>
    </row>
    <row r="21" spans="1:8" x14ac:dyDescent="0.3">
      <c r="A21" t="s">
        <v>69</v>
      </c>
      <c r="B21" t="s">
        <v>70</v>
      </c>
      <c r="C21" t="s">
        <v>65</v>
      </c>
      <c r="D21" t="s">
        <v>26</v>
      </c>
      <c r="E21" t="s">
        <v>49</v>
      </c>
      <c r="F21">
        <v>33</v>
      </c>
      <c r="G21" t="s">
        <v>13</v>
      </c>
      <c r="H21" t="s">
        <v>29</v>
      </c>
    </row>
    <row r="22" spans="1:8" x14ac:dyDescent="0.3">
      <c r="A22" t="s">
        <v>71</v>
      </c>
      <c r="B22" t="s">
        <v>72</v>
      </c>
      <c r="C22" t="s">
        <v>65</v>
      </c>
      <c r="D22" t="s">
        <v>26</v>
      </c>
      <c r="E22" t="s">
        <v>12</v>
      </c>
      <c r="F22">
        <v>31</v>
      </c>
      <c r="G22" t="s">
        <v>22</v>
      </c>
      <c r="H22" t="s">
        <v>73</v>
      </c>
    </row>
    <row r="23" spans="1:8" x14ac:dyDescent="0.3">
      <c r="A23" t="s">
        <v>74</v>
      </c>
      <c r="B23" t="s">
        <v>75</v>
      </c>
      <c r="C23" t="s">
        <v>76</v>
      </c>
      <c r="D23" t="s">
        <v>21</v>
      </c>
      <c r="E23" t="s">
        <v>77</v>
      </c>
      <c r="F23">
        <v>34</v>
      </c>
      <c r="G23" t="s">
        <v>13</v>
      </c>
      <c r="H23" t="s">
        <v>23</v>
      </c>
    </row>
    <row r="24" spans="1:8" x14ac:dyDescent="0.3">
      <c r="A24" t="s">
        <v>78</v>
      </c>
      <c r="B24" t="s">
        <v>79</v>
      </c>
      <c r="C24" t="s">
        <v>76</v>
      </c>
      <c r="D24" t="s">
        <v>17</v>
      </c>
      <c r="E24" t="s">
        <v>12</v>
      </c>
      <c r="F24">
        <v>34</v>
      </c>
      <c r="G24" t="s">
        <v>13</v>
      </c>
      <c r="H24" t="s">
        <v>62</v>
      </c>
    </row>
    <row r="25" spans="1:8" x14ac:dyDescent="0.3">
      <c r="A25" t="s">
        <v>80</v>
      </c>
      <c r="B25" t="s">
        <v>81</v>
      </c>
      <c r="C25" t="s">
        <v>76</v>
      </c>
      <c r="D25" t="s">
        <v>17</v>
      </c>
      <c r="E25" t="s">
        <v>38</v>
      </c>
      <c r="F25">
        <v>35</v>
      </c>
      <c r="G25" t="s">
        <v>22</v>
      </c>
      <c r="H25" t="s">
        <v>82</v>
      </c>
    </row>
    <row r="26" spans="1:8" x14ac:dyDescent="0.3">
      <c r="A26" t="s">
        <v>83</v>
      </c>
      <c r="B26" t="s">
        <v>84</v>
      </c>
      <c r="C26" t="s">
        <v>76</v>
      </c>
      <c r="D26" t="s">
        <v>11</v>
      </c>
      <c r="E26" t="s">
        <v>12</v>
      </c>
      <c r="F26">
        <v>23</v>
      </c>
      <c r="G26" t="s">
        <v>22</v>
      </c>
      <c r="H26" t="s">
        <v>62</v>
      </c>
    </row>
    <row r="27" spans="1:8" x14ac:dyDescent="0.3">
      <c r="A27" t="s">
        <v>85</v>
      </c>
      <c r="B27" t="s">
        <v>86</v>
      </c>
      <c r="C27" t="s">
        <v>87</v>
      </c>
      <c r="D27" t="s">
        <v>26</v>
      </c>
      <c r="E27" t="s">
        <v>77</v>
      </c>
      <c r="F27">
        <v>31</v>
      </c>
      <c r="G27" t="s">
        <v>13</v>
      </c>
      <c r="H27" t="s">
        <v>62</v>
      </c>
    </row>
    <row r="28" spans="1:8" x14ac:dyDescent="0.3">
      <c r="A28" t="s">
        <v>88</v>
      </c>
      <c r="B28" t="s">
        <v>89</v>
      </c>
      <c r="C28" t="s">
        <v>87</v>
      </c>
      <c r="D28" t="s">
        <v>17</v>
      </c>
      <c r="E28" t="s">
        <v>12</v>
      </c>
      <c r="F28">
        <v>25</v>
      </c>
      <c r="G28" t="s">
        <v>22</v>
      </c>
      <c r="H28" t="s">
        <v>90</v>
      </c>
    </row>
    <row r="29" spans="1:8" x14ac:dyDescent="0.3">
      <c r="A29" t="s">
        <v>91</v>
      </c>
      <c r="B29" t="s">
        <v>92</v>
      </c>
      <c r="C29" t="s">
        <v>87</v>
      </c>
      <c r="D29" t="s">
        <v>21</v>
      </c>
      <c r="E29" t="s">
        <v>12</v>
      </c>
      <c r="F29">
        <v>31</v>
      </c>
      <c r="G29" t="s">
        <v>13</v>
      </c>
      <c r="H29" t="s">
        <v>23</v>
      </c>
    </row>
    <row r="30" spans="1:8" x14ac:dyDescent="0.3">
      <c r="A30" t="s">
        <v>93</v>
      </c>
      <c r="B30" t="s">
        <v>94</v>
      </c>
      <c r="C30" t="s">
        <v>87</v>
      </c>
      <c r="D30" t="s">
        <v>17</v>
      </c>
      <c r="E30" t="s">
        <v>95</v>
      </c>
      <c r="F30">
        <v>29</v>
      </c>
      <c r="G30" t="s">
        <v>13</v>
      </c>
      <c r="H30" t="s">
        <v>18</v>
      </c>
    </row>
    <row r="31" spans="1:8" x14ac:dyDescent="0.3">
      <c r="A31" t="s">
        <v>96</v>
      </c>
      <c r="B31" t="s">
        <v>97</v>
      </c>
      <c r="C31" t="s">
        <v>98</v>
      </c>
      <c r="D31" t="s">
        <v>11</v>
      </c>
      <c r="E31" t="s">
        <v>12</v>
      </c>
      <c r="F31">
        <v>24</v>
      </c>
      <c r="G31" t="s">
        <v>22</v>
      </c>
      <c r="H31" t="s">
        <v>73</v>
      </c>
    </row>
    <row r="32" spans="1:8" x14ac:dyDescent="0.3">
      <c r="A32" t="s">
        <v>99</v>
      </c>
      <c r="B32" t="s">
        <v>100</v>
      </c>
      <c r="C32" t="s">
        <v>98</v>
      </c>
      <c r="D32" t="s">
        <v>17</v>
      </c>
      <c r="E32" t="s">
        <v>12</v>
      </c>
      <c r="F32">
        <v>35</v>
      </c>
      <c r="G32" t="s">
        <v>13</v>
      </c>
      <c r="H32" t="s">
        <v>29</v>
      </c>
    </row>
    <row r="33" spans="1:8" x14ac:dyDescent="0.3">
      <c r="A33" t="s">
        <v>101</v>
      </c>
      <c r="B33" t="s">
        <v>102</v>
      </c>
      <c r="C33" t="s">
        <v>98</v>
      </c>
      <c r="D33" t="s">
        <v>21</v>
      </c>
      <c r="E33" t="s">
        <v>95</v>
      </c>
      <c r="F33">
        <v>33</v>
      </c>
      <c r="G33" t="s">
        <v>13</v>
      </c>
      <c r="H33" t="s">
        <v>14</v>
      </c>
    </row>
    <row r="34" spans="1:8" x14ac:dyDescent="0.3">
      <c r="A34" t="s">
        <v>103</v>
      </c>
      <c r="B34" t="s">
        <v>104</v>
      </c>
      <c r="C34" t="s">
        <v>98</v>
      </c>
      <c r="D34" t="s">
        <v>11</v>
      </c>
      <c r="E34" t="s">
        <v>49</v>
      </c>
      <c r="F34">
        <v>31</v>
      </c>
      <c r="G34" t="s">
        <v>22</v>
      </c>
      <c r="H34" t="s">
        <v>14</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Props1.xml><?xml version="1.0" encoding="utf-8"?>
<ds:datastoreItem xmlns:ds="http://schemas.openxmlformats.org/officeDocument/2006/customXml" ds:itemID="{C8B37049-EDB0-4AAA-9CA8-3A2EDEF8F3B5}">
  <ds:schemaRefs/>
</ds:datastoreItem>
</file>

<file path=customXml/itemProps2.xml><?xml version="1.0" encoding="utf-8"?>
<ds:datastoreItem xmlns:ds="http://schemas.openxmlformats.org/officeDocument/2006/customXml" ds:itemID="{C1CB217E-EB64-4DBD-BDB0-3B219CC6DB20}">
  <ds:schemaRefs/>
</ds:datastoreItem>
</file>

<file path=customXml/itemProps3.xml><?xml version="1.0" encoding="utf-8"?>
<ds:datastoreItem xmlns:ds="http://schemas.openxmlformats.org/officeDocument/2006/customXml" ds:itemID="{BC954B89-5588-4D2F-9FB6-FAC1CCD95CFA}">
  <ds:schemaRefs/>
</ds:datastoreItem>
</file>

<file path=customXml/itemProps4.xml><?xml version="1.0" encoding="utf-8"?>
<ds:datastoreItem xmlns:ds="http://schemas.openxmlformats.org/officeDocument/2006/customXml" ds:itemID="{063AB79C-69C8-4F51-9DA3-AE6B03BE6167}">
  <ds:schemaRefs/>
</ds:datastoreItem>
</file>

<file path=customXml/itemProps5.xml><?xml version="1.0" encoding="utf-8"?>
<ds:datastoreItem xmlns:ds="http://schemas.openxmlformats.org/officeDocument/2006/customXml" ds:itemID="{9C002337-8BD6-4127-AA55-0919AFB139D3}">
  <ds:schemaRefs/>
</ds:datastoreItem>
</file>

<file path=customXml/itemProps6.xml><?xml version="1.0" encoding="utf-8"?>
<ds:datastoreItem xmlns:ds="http://schemas.openxmlformats.org/officeDocument/2006/customXml" ds:itemID="{7F7657C6-4285-407B-8DDC-3EC094290D4B}">
  <ds:schemaRefs/>
</ds:datastoreItem>
</file>

<file path=customXml/itemProps7.xml><?xml version="1.0" encoding="utf-8"?>
<ds:datastoreItem xmlns:ds="http://schemas.openxmlformats.org/officeDocument/2006/customXml" ds:itemID="{77B44807-7492-4962-8BF1-13E5BDCF0031}">
  <ds:schemaRefs/>
</ds:datastoreItem>
</file>

<file path=customXml/itemProps8.xml><?xml version="1.0" encoding="utf-8"?>
<ds:datastoreItem xmlns:ds="http://schemas.openxmlformats.org/officeDocument/2006/customXml" ds:itemID="{22F15DC8-6B65-4784-A40B-CB4351DDEBC5}">
  <ds:schemaRefs/>
</ds:datastoreItem>
</file>

<file path=customXml/itemProps9.xml><?xml version="1.0" encoding="utf-8"?>
<ds:datastoreItem xmlns:ds="http://schemas.openxmlformats.org/officeDocument/2006/customXml" ds:itemID="{A6A52AC3-9B5A-462A-B4C9-C0C84ABE96CD}">
  <ds:schemaRefs/>
</ds:datastoreItem>
</file>

<file path=customXml/itemProps10.xml><?xml version="1.0" encoding="utf-8"?>
<ds:datastoreItem xmlns:ds="http://schemas.openxmlformats.org/officeDocument/2006/customXml" ds:itemID="{4FD166C7-41B7-4E69-BAFC-C52CB9083BA1}">
  <ds:schemaRefs/>
</ds:datastoreItem>
</file>

<file path=customXml/itemProps11.xml><?xml version="1.0" encoding="utf-8"?>
<ds:datastoreItem xmlns:ds="http://schemas.openxmlformats.org/officeDocument/2006/customXml" ds:itemID="{8A4C973D-078F-4B9F-A743-8AF9B2EBAD46}">
  <ds:schemaRefs/>
</ds:datastoreItem>
</file>

<file path=customXml/itemProps12.xml><?xml version="1.0" encoding="utf-8"?>
<ds:datastoreItem xmlns:ds="http://schemas.openxmlformats.org/officeDocument/2006/customXml" ds:itemID="{07B1C72D-A16D-43E2-8721-2ABA4F1CA022}">
  <ds:schemaRefs>
    <ds:schemaRef ds:uri="http://schemas.microsoft.com/DataMashup"/>
  </ds:schemaRefs>
</ds:datastoreItem>
</file>

<file path=customXml/itemProps13.xml><?xml version="1.0" encoding="utf-8"?>
<ds:datastoreItem xmlns:ds="http://schemas.openxmlformats.org/officeDocument/2006/customXml" ds:itemID="{1669145C-CE3B-4EE0-B9C6-FEDFDB15C3C7}">
  <ds:schemaRefs/>
</ds:datastoreItem>
</file>

<file path=customXml/itemProps14.xml><?xml version="1.0" encoding="utf-8"?>
<ds:datastoreItem xmlns:ds="http://schemas.openxmlformats.org/officeDocument/2006/customXml" ds:itemID="{79A03344-2705-42CB-B79F-F926D6244D44}">
  <ds:schemaRefs/>
</ds:datastoreItem>
</file>

<file path=customXml/itemProps15.xml><?xml version="1.0" encoding="utf-8"?>
<ds:datastoreItem xmlns:ds="http://schemas.openxmlformats.org/officeDocument/2006/customXml" ds:itemID="{47786917-6ECE-4B4E-AD45-A2E77B1A8708}">
  <ds:schemaRefs/>
</ds:datastoreItem>
</file>

<file path=customXml/itemProps16.xml><?xml version="1.0" encoding="utf-8"?>
<ds:datastoreItem xmlns:ds="http://schemas.openxmlformats.org/officeDocument/2006/customXml" ds:itemID="{956307CA-D759-4B9F-88C4-DECE9DCEBE75}">
  <ds:schemaRefs/>
</ds:datastoreItem>
</file>

<file path=customXml/itemProps17.xml><?xml version="1.0" encoding="utf-8"?>
<ds:datastoreItem xmlns:ds="http://schemas.openxmlformats.org/officeDocument/2006/customXml" ds:itemID="{E25E191F-E115-4761-B49E-23DC49244B8F}">
  <ds:schemaRefs/>
</ds:datastoreItem>
</file>

<file path=customXml/itemProps18.xml><?xml version="1.0" encoding="utf-8"?>
<ds:datastoreItem xmlns:ds="http://schemas.openxmlformats.org/officeDocument/2006/customXml" ds:itemID="{2C4869D4-AE3C-4C83-A49E-A23C653F2AD4}">
  <ds:schemaRefs/>
</ds:datastoreItem>
</file>

<file path=customXml/itemProps19.xml><?xml version="1.0" encoding="utf-8"?>
<ds:datastoreItem xmlns:ds="http://schemas.openxmlformats.org/officeDocument/2006/customXml" ds:itemID="{4B5185C9-117E-4636-8696-D103D296AD3A}">
  <ds:schemaRefs/>
</ds:datastoreItem>
</file>

<file path=customXml/itemProps20.xml><?xml version="1.0" encoding="utf-8"?>
<ds:datastoreItem xmlns:ds="http://schemas.openxmlformats.org/officeDocument/2006/customXml" ds:itemID="{5D06BC90-F1FB-4AF4-AF9D-85981047696C}">
  <ds:schemaRefs/>
</ds:datastoreItem>
</file>

<file path=customXml/itemProps21.xml><?xml version="1.0" encoding="utf-8"?>
<ds:datastoreItem xmlns:ds="http://schemas.openxmlformats.org/officeDocument/2006/customXml" ds:itemID="{8B795747-59EC-4066-BA0A-A0EDE2D44998}">
  <ds:schemaRefs/>
</ds:datastoreItem>
</file>

<file path=customXml/itemProps22.xml><?xml version="1.0" encoding="utf-8"?>
<ds:datastoreItem xmlns:ds="http://schemas.openxmlformats.org/officeDocument/2006/customXml" ds:itemID="{00C5E35F-8C4B-41A9-8991-D83C458BAFE6}">
  <ds:schemaRefs/>
</ds:datastoreItem>
</file>

<file path=customXml/itemProps23.xml><?xml version="1.0" encoding="utf-8"?>
<ds:datastoreItem xmlns:ds="http://schemas.openxmlformats.org/officeDocument/2006/customXml" ds:itemID="{260E1F29-B04F-4D77-A9E4-EFFEA8315DFB}">
  <ds:schemaRefs/>
</ds:datastoreItem>
</file>

<file path=customXml/itemProps24.xml><?xml version="1.0" encoding="utf-8"?>
<ds:datastoreItem xmlns:ds="http://schemas.openxmlformats.org/officeDocument/2006/customXml" ds:itemID="{664EB2A8-DD34-4F09-BFC3-7A714DF13FA8}">
  <ds:schemaRefs/>
</ds:datastoreItem>
</file>

<file path=customXml/itemProps25.xml><?xml version="1.0" encoding="utf-8"?>
<ds:datastoreItem xmlns:ds="http://schemas.openxmlformats.org/officeDocument/2006/customXml" ds:itemID="{32AB244E-8038-42C6-85AE-12898D46095D}">
  <ds:schemaRefs/>
</ds:datastoreItem>
</file>

<file path=customXml/itemProps26.xml><?xml version="1.0" encoding="utf-8"?>
<ds:datastoreItem xmlns:ds="http://schemas.openxmlformats.org/officeDocument/2006/customXml" ds:itemID="{927B8853-42D0-48D1-9934-E399A0D2739F}">
  <ds:schemaRefs/>
</ds:datastoreItem>
</file>

<file path=customXml/itemProps27.xml><?xml version="1.0" encoding="utf-8"?>
<ds:datastoreItem xmlns:ds="http://schemas.openxmlformats.org/officeDocument/2006/customXml" ds:itemID="{13660AF0-585E-44CB-BC21-DCA54114EBDA}">
  <ds:schemaRefs/>
</ds:datastoreItem>
</file>

<file path=customXml/itemProps28.xml><?xml version="1.0" encoding="utf-8"?>
<ds:datastoreItem xmlns:ds="http://schemas.openxmlformats.org/officeDocument/2006/customXml" ds:itemID="{62FA0412-F262-4298-ABCA-ACE04139592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Player_summary</vt:lpstr>
      <vt:lpstr>Team_Summary</vt:lpstr>
      <vt:lpstr>Team Performance Dashboard</vt:lpstr>
      <vt:lpstr>fact_player</vt:lpstr>
      <vt:lpstr>fact_match</vt:lpstr>
      <vt:lpstr>dim_venue</vt:lpstr>
      <vt:lpstr>dim_team</vt:lpstr>
      <vt:lpstr>dim_player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 Panchal</dc:creator>
  <cp:lastModifiedBy>Dhruv Panchal</cp:lastModifiedBy>
  <dcterms:created xsi:type="dcterms:W3CDTF">2026-09-26T19:23:26Z</dcterms:created>
  <dcterms:modified xsi:type="dcterms:W3CDTF">2026-09-29T22:51:26Z</dcterms:modified>
</cp:coreProperties>
</file>